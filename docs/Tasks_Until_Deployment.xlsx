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>
    <definedName name="_xlnm._FilterDatabase" localSheetId="0" hidden="1">'Tasks'!$A$5:$G$23</definedName>
    <definedName name="_xlnm.Print_Titles" localSheetId="0">'Tasks'!$5:$5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 mmm"/>
    <numFmt numFmtId="166" formatCode="0;&quot;overdue &quot;0;&quot;today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2F3B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</cellXfs>
  <cellStyles count="1">
    <cellStyle name="Normal" xfId="0" builtinId="0" hidden="0"/>
  </cellStyles>
  <dxfs count="3">
    <dxf>
      <font>
        <name val="Arial"/>
        <color rgb="00808080"/>
      </font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0" customWidth="1" min="3" max="3"/>
    <col width="13" customWidth="1" min="4" max="4"/>
    <col width="22" customWidth="1" min="5" max="5"/>
    <col width="13" customWidth="1" min="6" max="6"/>
    <col width="11" customWidth="1" min="7" max="7"/>
  </cols>
  <sheetData>
    <row r="1">
      <c r="A1" s="1" t="inlineStr">
        <is>
          <t>My tasks until deployment — this week (20–24 Oct 2026)</t>
        </is>
      </c>
    </row>
    <row r="2">
      <c r="F2" s="2" t="inlineStr">
        <is>
          <t>Open tasks</t>
        </is>
      </c>
      <c r="G2" s="2">
        <f>COUNTA(C6:C23)-COUNTIF(F6:F23,"Done")</f>
        <v/>
      </c>
    </row>
    <row r="3">
      <c r="A3" s="3" t="inlineStr">
        <is>
          <t>Deadlines are proposed (blue = edit freely). Update Status as you go; Days left and Open tasks update by themselves.</t>
        </is>
      </c>
    </row>
    <row r="5">
      <c r="A5" s="4" t="inlineStr">
        <is>
          <t>#</t>
        </is>
      </c>
      <c r="B5" s="4" t="inlineStr">
        <is>
          <t>Day</t>
        </is>
      </c>
      <c r="C5" s="4" t="inlineStr">
        <is>
          <t>Task</t>
        </is>
      </c>
      <c r="D5" s="4" t="inlineStr">
        <is>
          <t>Deadline</t>
        </is>
      </c>
      <c r="E5" s="4" t="inlineStr">
        <is>
          <t>Depends on</t>
        </is>
      </c>
      <c r="F5" s="4" t="inlineStr">
        <is>
          <t>Status</t>
        </is>
      </c>
      <c r="G5" s="4" t="inlineStr">
        <is>
          <t>Days left</t>
        </is>
      </c>
    </row>
    <row r="6">
      <c r="A6" s="5" t="n">
        <v>1</v>
      </c>
      <c r="B6" s="5" t="inlineStr">
        <is>
          <t>Mon 20 Oct</t>
        </is>
      </c>
      <c r="C6" s="6" t="inlineStr">
        <is>
          <t>Push Combined-Folder to GitHub (Ismail's 19 Oct merge + Discovery bridge)</t>
        </is>
      </c>
      <c r="D6" s="7" t="n">
        <v>46315</v>
      </c>
      <c r="E6" s="6" t="inlineStr">
        <is>
          <t>—</t>
        </is>
      </c>
      <c r="F6" s="5" t="inlineStr">
        <is>
          <t>Not started</t>
        </is>
      </c>
      <c r="G6" s="8">
        <f>IF(F6="Done","",D6-TODAY())</f>
        <v/>
      </c>
    </row>
    <row r="7">
      <c r="A7" s="5" t="n">
        <v>2</v>
      </c>
      <c r="B7" s="5" t="inlineStr">
        <is>
          <t>Mon 20 Oct</t>
        </is>
      </c>
      <c r="C7" s="6" t="inlineStr">
        <is>
          <t>Commit the Browse → People tab</t>
        </is>
      </c>
      <c r="D7" s="7" t="n">
        <v>46315</v>
      </c>
      <c r="E7" s="6" t="inlineStr">
        <is>
          <t>—</t>
        </is>
      </c>
      <c r="F7" s="5" t="inlineStr">
        <is>
          <t>Not started</t>
        </is>
      </c>
      <c r="G7" s="8">
        <f>IF(F7="Done","",D7-TODAY())</f>
        <v/>
      </c>
    </row>
    <row r="8">
      <c r="A8" s="5" t="n">
        <v>3</v>
      </c>
      <c r="B8" s="5" t="inlineStr">
        <is>
          <t>Mon 20 Oct</t>
        </is>
      </c>
      <c r="C8" s="6" t="inlineStr">
        <is>
          <t>Present the Build the Map → Discovery bridge</t>
        </is>
      </c>
      <c r="D8" s="7" t="n">
        <v>46315</v>
      </c>
      <c r="E8" s="6" t="inlineStr">
        <is>
          <t>—</t>
        </is>
      </c>
      <c r="F8" s="5" t="inlineStr">
        <is>
          <t>Not started</t>
        </is>
      </c>
      <c r="G8" s="8">
        <f>IF(F8="Done","",D8-TODAY())</f>
        <v/>
      </c>
    </row>
    <row r="9">
      <c r="A9" s="5" t="n">
        <v>4</v>
      </c>
      <c r="B9" s="5" t="inlineStr">
        <is>
          <t>Tue 21 Oct</t>
        </is>
      </c>
      <c r="C9" s="6" t="inlineStr">
        <is>
          <t>Send Ismail his list: migration 520/510, rollback bug, 'skip these organizations' field, organization-type filter, the 3 changes in discovery.js</t>
        </is>
      </c>
      <c r="D9" s="7" t="n">
        <v>46316</v>
      </c>
      <c r="E9" s="6" t="inlineStr">
        <is>
          <t>—</t>
        </is>
      </c>
      <c r="F9" s="5" t="inlineStr">
        <is>
          <t>Not started</t>
        </is>
      </c>
      <c r="G9" s="8">
        <f>IF(F9="Done","",D9-TODAY())</f>
        <v/>
      </c>
    </row>
    <row r="10">
      <c r="A10" s="5" t="n">
        <v>5</v>
      </c>
      <c r="B10" s="5" t="inlineStr">
        <is>
          <t>Tue 21 Oct</t>
        </is>
      </c>
      <c r="C10" s="6" t="inlineStr">
        <is>
          <t>Choose the contact email for Discovery and add GHUS_AGENT_CONTACT_EMAIL to .env</t>
        </is>
      </c>
      <c r="D10" s="7" t="n">
        <v>46316</v>
      </c>
      <c r="E10" s="6" t="inlineStr">
        <is>
          <t>Team address</t>
        </is>
      </c>
      <c r="F10" s="5" t="inlineStr">
        <is>
          <t>Not started</t>
        </is>
      </c>
      <c r="G10" s="8">
        <f>IF(F10="Done","",D10-TODAY())</f>
        <v/>
      </c>
    </row>
    <row r="11">
      <c r="A11" s="5" t="n">
        <v>6</v>
      </c>
      <c r="B11" s="5" t="inlineStr">
        <is>
          <t>Tue 21 Oct</t>
        </is>
      </c>
      <c r="C11" s="6" t="inlineStr">
        <is>
          <t>Cancel or keep the test Discovery request 'Mining organizations in the Southeast'</t>
        </is>
      </c>
      <c r="D11" s="7" t="n">
        <v>46316</v>
      </c>
      <c r="E11" s="6" t="inlineStr">
        <is>
          <t>—</t>
        </is>
      </c>
      <c r="F11" s="5" t="inlineStr">
        <is>
          <t>Not started</t>
        </is>
      </c>
      <c r="G11" s="8">
        <f>IF(F11="Done","",D11-TODAY())</f>
        <v/>
      </c>
    </row>
    <row r="12">
      <c r="A12" s="5" t="n">
        <v>7</v>
      </c>
      <c r="B12" s="5" t="inlineStr">
        <is>
          <t>Tue 21 Oct</t>
        </is>
      </c>
      <c r="C12" s="6" t="inlineStr">
        <is>
          <t>Review the written 13 Oct minutes</t>
        </is>
      </c>
      <c r="D12" s="7" t="n">
        <v>46316</v>
      </c>
      <c r="E12" s="6" t="inlineStr">
        <is>
          <t>—</t>
        </is>
      </c>
      <c r="F12" s="5" t="inlineStr">
        <is>
          <t>Not started</t>
        </is>
      </c>
      <c r="G12" s="8">
        <f>IF(F12="Done","",D12-TODAY())</f>
        <v/>
      </c>
    </row>
    <row r="13">
      <c r="A13" s="5" t="n">
        <v>8</v>
      </c>
      <c r="B13" s="5" t="inlineStr">
        <is>
          <t>Tue 21 Oct</t>
        </is>
      </c>
      <c r="C13" s="6" t="inlineStr">
        <is>
          <t>Correct the 3 claims from 13 Oct (Verify ≠ DB push; OCP/UM6P for organizations not built; questions beyond organizations not built)</t>
        </is>
      </c>
      <c r="D13" s="7" t="n">
        <v>46316</v>
      </c>
      <c r="E13" s="6" t="inlineStr">
        <is>
          <t>—</t>
        </is>
      </c>
      <c r="F13" s="5" t="inlineStr">
        <is>
          <t>Not started</t>
        </is>
      </c>
      <c r="G13" s="8">
        <f>IF(F13="Done","",D13-TODAY())</f>
        <v/>
      </c>
    </row>
    <row r="14">
      <c r="A14" s="5" t="n">
        <v>9</v>
      </c>
      <c r="B14" s="5" t="inlineStr">
        <is>
          <t>Wed 22 Oct</t>
        </is>
      </c>
      <c r="C14" s="6" t="inlineStr">
        <is>
          <t>Install pytest and run Ismail's 4 test files in the combined folder</t>
        </is>
      </c>
      <c r="D14" s="7" t="n">
        <v>46317</v>
      </c>
      <c r="E14" s="6" t="inlineStr">
        <is>
          <t>—</t>
        </is>
      </c>
      <c r="F14" s="5" t="inlineStr">
        <is>
          <t>Not started</t>
        </is>
      </c>
      <c r="G14" s="8">
        <f>IF(F14="Done","",D14-TODAY())</f>
        <v/>
      </c>
    </row>
    <row r="15">
      <c r="A15" s="5" t="n">
        <v>10</v>
      </c>
      <c r="B15" s="5" t="inlineStr">
        <is>
          <t>Wed 22 Oct</t>
        </is>
      </c>
      <c r="C15" s="6" t="inlineStr">
        <is>
          <t>Map questions, step 1: answer only from the map's card details, with sources</t>
        </is>
      </c>
      <c r="D15" s="7" t="n">
        <v>46317</v>
      </c>
      <c r="E15" s="6" t="inlineStr">
        <is>
          <t>—</t>
        </is>
      </c>
      <c r="F15" s="5" t="inlineStr">
        <is>
          <t>Not started</t>
        </is>
      </c>
      <c r="G15" s="8">
        <f>IF(F15="Done","",D15-TODAY())</f>
        <v/>
      </c>
    </row>
    <row r="16">
      <c r="A16" s="5" t="n">
        <v>11</v>
      </c>
      <c r="B16" s="5" t="inlineStr">
        <is>
          <t>Wed 22 Oct</t>
        </is>
      </c>
      <c r="C16" s="6" t="inlineStr">
        <is>
          <t>Remove diagnostic-only UI, keep the cost display</t>
        </is>
      </c>
      <c r="D16" s="7" t="n">
        <v>46317</v>
      </c>
      <c r="E16" s="6" t="inlineStr">
        <is>
          <t>Decide which parts go</t>
        </is>
      </c>
      <c r="F16" s="5" t="inlineStr">
        <is>
          <t>Not started</t>
        </is>
      </c>
      <c r="G16" s="8">
        <f>IF(F16="Done","",D16-TODAY())</f>
        <v/>
      </c>
    </row>
    <row r="17">
      <c r="A17" s="5" t="n">
        <v>12</v>
      </c>
      <c r="B17" s="5" t="inlineStr">
        <is>
          <t>Wed 22 Oct</t>
        </is>
      </c>
      <c r="C17" s="6" t="inlineStr">
        <is>
          <t>Check live that the Ask → Build the Map hand-off doesn't repeat the filters</t>
        </is>
      </c>
      <c r="D17" s="7" t="n">
        <v>46317</v>
      </c>
      <c r="E17" s="6" t="inlineStr">
        <is>
          <t>—</t>
        </is>
      </c>
      <c r="F17" s="5" t="inlineStr">
        <is>
          <t>Not started</t>
        </is>
      </c>
      <c r="G17" s="8">
        <f>IF(F17="Done","",D17-TODAY())</f>
        <v/>
      </c>
    </row>
    <row r="18">
      <c r="A18" s="5" t="n">
        <v>13</v>
      </c>
      <c r="B18" s="5" t="inlineStr">
        <is>
          <t>Wed 22 Oct</t>
        </is>
      </c>
      <c r="C18" s="6" t="inlineStr">
        <is>
          <t>Merge Combined-Folder into main, agreed with Ismail</t>
        </is>
      </c>
      <c r="D18" s="7" t="n">
        <v>46317</v>
      </c>
      <c r="E18" s="6" t="inlineStr">
        <is>
          <t>Ismail</t>
        </is>
      </c>
      <c r="F18" s="5" t="inlineStr">
        <is>
          <t>Not started</t>
        </is>
      </c>
      <c r="G18" s="8">
        <f>IF(F18="Done","",D18-TODAY())</f>
        <v/>
      </c>
    </row>
    <row r="19">
      <c r="A19" s="5" t="n">
        <v>14</v>
      </c>
      <c r="B19" s="5" t="inlineStr">
        <is>
          <t>Thu 23 Oct</t>
        </is>
      </c>
      <c r="C19" s="6" t="inlineStr">
        <is>
          <t>Run Discovery end to end once 520 is applied (Run now → Parked / Review)</t>
        </is>
      </c>
      <c r="D19" s="7" t="n">
        <v>46318</v>
      </c>
      <c r="E19" s="6" t="inlineStr">
        <is>
          <t>Ismail: migration 520</t>
        </is>
      </c>
      <c r="F19" s="5" t="inlineStr">
        <is>
          <t>Not started</t>
        </is>
      </c>
      <c r="G19" s="8">
        <f>IF(F19="Done","",D19-TODAY())</f>
        <v/>
      </c>
    </row>
    <row r="20">
      <c r="A20" s="5" t="n">
        <v>15</v>
      </c>
      <c r="B20" s="5" t="inlineStr">
        <is>
          <t>Thu 23 Oct</t>
        </is>
      </c>
      <c r="C20" s="6" t="inlineStr">
        <is>
          <t>Decide where Park lives for Browse (DB status column or local store) and build the filter</t>
        </is>
      </c>
      <c r="D20" s="7" t="n">
        <v>46318</v>
      </c>
      <c r="E20" s="6" t="inlineStr">
        <is>
          <t>Ismail: DB column</t>
        </is>
      </c>
      <c r="F20" s="5" t="inlineStr">
        <is>
          <t>Not started</t>
        </is>
      </c>
      <c r="G20" s="8">
        <f>IF(F20="Done","",D20-TODAY())</f>
        <v/>
      </c>
    </row>
    <row r="21">
      <c r="A21" s="5" t="n">
        <v>16</v>
      </c>
      <c r="B21" s="5" t="inlineStr">
        <is>
          <t>Thu 23 Oct</t>
        </is>
      </c>
      <c r="C21" s="6" t="inlineStr">
        <is>
          <t>Test session with Fatima's scenarios; fix what it finds</t>
        </is>
      </c>
      <c r="D21" s="7" t="n">
        <v>46318</v>
      </c>
      <c r="E21" s="6" t="inlineStr">
        <is>
          <t>Fatima</t>
        </is>
      </c>
      <c r="F21" s="5" t="inlineStr">
        <is>
          <t>Not started</t>
        </is>
      </c>
      <c r="G21" s="8">
        <f>IF(F21="Done","",D21-TODAY())</f>
        <v/>
      </c>
    </row>
    <row r="22">
      <c r="A22" s="5" t="n">
        <v>17</v>
      </c>
      <c r="B22" s="5" t="inlineStr">
        <is>
          <t>Fri 24 Oct</t>
        </is>
      </c>
      <c r="C22" s="6" t="inlineStr">
        <is>
          <t>Deployment readiness: settings, handoff document, final full test run</t>
        </is>
      </c>
      <c r="D22" s="7" t="n">
        <v>46319</v>
      </c>
      <c r="E22" s="6" t="inlineStr">
        <is>
          <t>—</t>
        </is>
      </c>
      <c r="F22" s="5" t="inlineStr">
        <is>
          <t>Not started</t>
        </is>
      </c>
      <c r="G22" s="8">
        <f>IF(F22="Done","",D22-TODAY())</f>
        <v/>
      </c>
    </row>
    <row r="23">
      <c r="A23" s="5" t="n">
        <v>18</v>
      </c>
      <c r="B23" s="5" t="inlineStr">
        <is>
          <t>Fri 24 Oct</t>
        </is>
      </c>
      <c r="C23" s="6" t="inlineStr">
        <is>
          <t>Deploy the platform</t>
        </is>
      </c>
      <c r="D23" s="7" t="n">
        <v>46319</v>
      </c>
      <c r="E23" s="6" t="inlineStr">
        <is>
          <t>Everything above</t>
        </is>
      </c>
      <c r="F23" s="5" t="inlineStr">
        <is>
          <t>Not started</t>
        </is>
      </c>
      <c r="G23" s="8">
        <f>IF(F23="Done","",D23-TODAY())</f>
        <v/>
      </c>
    </row>
  </sheetData>
  <autoFilter ref="A5:G23"/>
  <conditionalFormatting sqref="A6:G23">
    <cfRule type="expression" priority="1" dxfId="0">
      <formula>$F6="Done"</formula>
    </cfRule>
    <cfRule type="expression" priority="2" dxfId="1">
      <formula>$F6="Blocked"</formula>
    </cfRule>
  </conditionalFormatting>
  <conditionalFormatting sqref="G6:G23">
    <cfRule type="expression" priority="3" dxfId="2">
      <formula>AND($F6&lt;&gt;"Done",$G6&lt;0)</formula>
    </cfRule>
  </conditionalFormatting>
  <dataValidations count="1">
    <dataValidation sqref="F6:F23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2026-10-20T15:46:14Z</dcterms:created>
  <dcterms:modified xmlns:dcterms="http://purl.org/dc/terms/" xmlns:xsi="http://www.w3.org/2001/XMLSchema-instance" xsi:type="dcterms:W3CDTF">2026-10-20T15:46:14Z</dcterms:modified>
</cp:coreProperties>
</file>