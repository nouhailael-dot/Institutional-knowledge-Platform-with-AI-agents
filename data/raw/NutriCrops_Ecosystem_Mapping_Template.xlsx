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davidhayes/Desktop/"/>
    </mc:Choice>
  </mc:AlternateContent>
  <xr:revisionPtr revIDLastSave="0" documentId="8_{3636179F-CCD0-274C-9EA0-5AC2389CFB7C}" xr6:coauthVersionLast="47" xr6:coauthVersionMax="47" xr10:uidLastSave="{00000000-0000-0000-0000-000000000000}"/>
  <bookViews>
    <workbookView xWindow="160" yWindow="920" windowWidth="14900" windowHeight="16940" firstSheet="1" activeTab="2" xr2:uid="{00000000-000D-0000-FFFF-FFFF00000000}"/>
  </bookViews>
  <sheets>
    <sheet name="Instructions" sheetId="1" r:id="rId1"/>
    <sheet name="Lists" sheetId="2" state="hidden" r:id="rId2"/>
    <sheet name="NutriCrops Ecosystem Map" sheetId="3" r:id="rId3"/>
    <sheet name="Sheet1"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7" i="3" l="1"/>
  <c r="U60" i="3"/>
  <c r="U55" i="3"/>
  <c r="U58" i="3"/>
  <c r="U57" i="3"/>
  <c r="U52" i="3"/>
  <c r="U51" i="3"/>
</calcChain>
</file>

<file path=xl/sharedStrings.xml><?xml version="1.0" encoding="utf-8"?>
<sst xmlns="http://schemas.openxmlformats.org/spreadsheetml/2006/main" count="2569" uniqueCount="1789">
  <si>
    <t>NutriCrops Ecosystem Mapping Template</t>
  </si>
  <si>
    <t>How to use dropdowns:</t>
  </si>
  <si>
    <t>1) Open the sheet 'NutriCrops Ecosystem Map'.</t>
  </si>
  <si>
    <t>2) Click any cell in these columns (starting in row 2):</t>
  </si>
  <si>
    <t xml:space="preserve">   - Column B: Actor Category</t>
  </si>
  <si>
    <t xml:space="preserve">   - Column K: Estimated TRL</t>
  </si>
  <si>
    <t xml:space="preserve">   - Column L: Primary Role in Innovation Lifecycle</t>
  </si>
  <si>
    <t xml:space="preserve">   - Column N: Relevance Score</t>
  </si>
  <si>
    <t xml:space="preserve">   - Column O: Maturity Risk</t>
  </si>
  <si>
    <t>A small dropdown arrow appears when the cell is selected. Choose one value from the list.</t>
  </si>
  <si>
    <t>University Lab</t>
  </si>
  <si>
    <t>TRL 1-3 Early Research</t>
  </si>
  <si>
    <t>Discovery</t>
  </si>
  <si>
    <t>1</t>
  </si>
  <si>
    <t>Low</t>
  </si>
  <si>
    <t>National Research Lab</t>
  </si>
  <si>
    <t>TRL 4-5 Lab or Pilot</t>
  </si>
  <si>
    <t>Validation</t>
  </si>
  <si>
    <t>2</t>
  </si>
  <si>
    <t>Medium</t>
  </si>
  <si>
    <t>Startup / New Venture</t>
  </si>
  <si>
    <t>TRL 6-7 Demonstration</t>
  </si>
  <si>
    <t>Scale-Up</t>
  </si>
  <si>
    <t>3</t>
  </si>
  <si>
    <t>High</t>
  </si>
  <si>
    <t>Corporate R&amp;D / Innovation Lab</t>
  </si>
  <si>
    <t>TRL 8-9 Commercial</t>
  </si>
  <si>
    <t>Deployment</t>
  </si>
  <si>
    <t>4</t>
  </si>
  <si>
    <t>Multiple Roles</t>
  </si>
  <si>
    <t>5</t>
  </si>
  <si>
    <t>Actor Name</t>
  </si>
  <si>
    <t>Actor Category</t>
  </si>
  <si>
    <t>Organization Description</t>
  </si>
  <si>
    <t>Location (City, State, Country)</t>
  </si>
  <si>
    <t>Official Website</t>
  </si>
  <si>
    <t>Primary Technical Focus Area</t>
  </si>
  <si>
    <t>Specific Technical Approach</t>
  </si>
  <si>
    <t>Relevance to Phosphogypsum</t>
  </si>
  <si>
    <t>Current Activities / Evidence</t>
  </si>
  <si>
    <t>Technology / IP Notes</t>
  </si>
  <si>
    <t>Estimated TRL</t>
  </si>
  <si>
    <t>Primary Role in Innovation Lifecycle</t>
  </si>
  <si>
    <t>Collaboration Orientation</t>
  </si>
  <si>
    <t>Relevance Score</t>
  </si>
  <si>
    <t>Maturity Risk</t>
  </si>
  <si>
    <t>Key Constraints or Dependencies</t>
  </si>
  <si>
    <t>Why This Actor Is Potentially Valuable</t>
  </si>
  <si>
    <t>Source Links / References</t>
  </si>
  <si>
    <t>Analyst Notes</t>
  </si>
  <si>
    <t>Fundings</t>
  </si>
  <si>
    <t>National Research Labs</t>
  </si>
  <si>
    <t>Savannah River National Laboratory</t>
  </si>
  <si>
    <t>Savannah River National Laboratory (SRNL) is a U.S. Department of Energy lab known for developing and testing technologies to safely remove and manage radioactive materials. It is a strong partner for NutriCrops because of its proven expertise in reducing radioactive contaminants in industrial byproducts like phosphogypsum.</t>
  </si>
  <si>
    <t>Aiken, South Carolina, USA</t>
  </si>
  <si>
    <t>https://www.srnl.gov/matter_magazine/tank-waste-disposal/</t>
  </si>
  <si>
    <t>Environmental Stewardship &amp; Waste Management  cleanup, remediation, solid/liquid waste processing, and environmental risk reduction.
Nuclear Material Processing &amp; Disposition  design, development, testing, and validation of processes and flowsheets for radioactive materials and tank waste disposition.
Tank Waste Processing &amp; Disposition technologies for processing high-level and tank waste streams.
Advanced Science &amp; Simulation Capabilities  modeling, AI, analytical labs, regulatory expertise, and testbeds.</t>
  </si>
  <si>
    <t>SRNL engineers and scientists support radioactive element mitigation and waste handling through:
Flowsheet design and process testing for nuclear materials and tank waste, including demonstration of next-generation technologies.
Tank waste treatment technologies for storage, separation, and disposition of legacy high-level radioactive liquid waste.
Environmental cleanup solutions for soil, water, and hazardous waste stabilization across DOE sites.
Advanced analytical and regulatory expertise for characterization, modeling, and validation.
Collaborative materials research (e.g., Center for Hierarchical Waste Form Materials) focused on radionuclide immobilization.</t>
  </si>
  <si>
    <t>SRNL’s strengths are in radioactive waste processing and characterization, making it relevant to NutriCrops’ task of isolating or immobilizing radioactive elements from industrial residues like phosphogypsum:
Experience with nuclear tank waste separations and disposition provides transferable methods for bulk contaminant capture and immobilization workflows.
Expertise in environmental stewardship and cleanup technologies supports the pathway of demonstrating that treatment approaches are effective and compliant.
SRNL’s work on advanced waste form materials (e.g., hierarchical waste forms) is applicable to “hot-fraction” stabilization and long-term radionuclide containment strategies.</t>
  </si>
  <si>
    <t>SRNL’s official fact sheet details its mission and competencies in applied science, including environmental stewardship and nuclear material processing.
SRNL conducts research and development across nuclear material processing, tank waste disposition, and environmental cleanup.
The Center for Hierarchical Waste Form Materials demonstrates SRNL’s involvement in developing and testing novel waste form materials that immobilize transuranic and other radionuclides.
SRNL’s advanced capabilities include analytical labs, modeling and simulation, and testbeds relevant for technical validation of complex radioactive waste systems.</t>
  </si>
  <si>
    <t>SRNL’s nuclear processing IP is directly aligned with phosphogypsum remediation because both involve high-volume, low-to-moderate activity radioactive materials requiring volume reduction, selective radionuclide concentration, and durable immobilization. Technologies such as SRNL’s vapor digestion process demonstrate system-level approaches for isolating radioactive components into small, manageable fractions while enabling safe handling of the bulk material. Combined with SRNL’s expertise in waste form development, radiochemical verification, and regulatory-grade validation, this makes SRNL highly relevant to managing the radioactive elements in phosphogypsum despite the non-fuel nature of the feedstock.</t>
  </si>
  <si>
    <t>Yes</t>
  </si>
  <si>
    <t>No</t>
  </si>
  <si>
    <t>High. SRNL often partners with:
Other national laboratories (via NNLEMS coordination).
Universities and industry through collaborative research and technology demonstration agreements.
DOE programs for environmental management, cleanup, and advanced nuclear energy systems.</t>
  </si>
  <si>
    <t>DOE( U.S. Departemnt of Enery) mission alignment; formal contracting (CRADA= Coopertaive Reaserch and Development Agreement/SPP= Stratgic Partnership Project); radioactive material handling approvals; well-defined scope; higher cost structure; IP governed by DOE frameworks; scheduling tied to national lab priorities.</t>
  </si>
  <si>
    <t>Savannah River National Laboratory brings unmatched expertise in radioactive waste processing, separations, flowsheet development, and environmental remediation, backed by extensive applied deployment experience and advanced analytical infrastructure. Its capability to validate and scale technologies for high-risk waste streams — including conceptual translation to radionuclide capture and immobilization — makes it a cornerstone partner for NutriCrops’ mission to safely reduce or eliminate radioactive elements in phosphogypsum.</t>
  </si>
  <si>
    <t>https://www.srnl.gov/
https://www.srnl.gov/research-areas/
https://www.srnl.gov/capabilities/
https://www.srnl.gov/research-areas/environmental-stewardship/</t>
  </si>
  <si>
    <r>
      <rPr>
        <b/>
        <sz val="12"/>
        <color theme="1"/>
        <rFont val="Calibri"/>
        <family val="2"/>
        <scheme val="minor"/>
      </rPr>
      <t xml:space="preserve">Best used at demonstration stage (TRL 6–7): </t>
    </r>
    <r>
      <rPr>
        <sz val="12"/>
        <color theme="1"/>
        <rFont val="Calibri"/>
        <family val="2"/>
        <scheme val="minor"/>
      </rPr>
      <t xml:space="preserve">SRNL is most effective once a technical pathway is defined and needs validation under regulatory-grade radioactive-material conditions.
</t>
    </r>
    <r>
      <rPr>
        <b/>
        <sz val="12"/>
        <color theme="1"/>
        <rFont val="Calibri"/>
        <family val="2"/>
        <scheme val="minor"/>
      </rPr>
      <t xml:space="preserve">Strong alignment with phosphogypsum radioactivity: </t>
    </r>
    <r>
      <rPr>
        <sz val="12"/>
        <color theme="1"/>
        <rFont val="Calibri"/>
        <family val="2"/>
        <scheme val="minor"/>
      </rPr>
      <t xml:space="preserve">SRNL’s experience in volume reduction, radionuclide isolation, and waste-form immobilization aligns directly with the “clean bulk + hot fraction” approach for PG.
</t>
    </r>
    <r>
      <rPr>
        <b/>
        <sz val="12"/>
        <color theme="1"/>
        <rFont val="Calibri"/>
        <family val="2"/>
        <scheme val="minor"/>
      </rPr>
      <t>Not a discovery partner:</t>
    </r>
    <r>
      <rPr>
        <sz val="12"/>
        <color theme="1"/>
        <rFont val="Calibri"/>
        <family val="2"/>
        <scheme val="minor"/>
      </rPr>
      <t xml:space="preserve"> SRNL is not suited for open-ended research; its value lies in proving, validating, and de-risking approaches that are already technically credible.
</t>
    </r>
    <r>
      <rPr>
        <b/>
        <sz val="12"/>
        <color theme="1"/>
        <rFont val="Calibri"/>
        <family val="2"/>
        <scheme val="minor"/>
      </rPr>
      <t>Regulatory realism:</t>
    </r>
    <r>
      <rPr>
        <sz val="12"/>
        <color theme="1"/>
        <rFont val="Calibri"/>
        <family val="2"/>
        <scheme val="minor"/>
      </rPr>
      <t xml:space="preserve"> SRNL works within compliance, safety case, and long-term stewardship constraints, which is critical for PG solutions that must withstand regulatory scrutiny.
</t>
    </r>
    <r>
      <rPr>
        <b/>
        <sz val="12"/>
        <color theme="1"/>
        <rFont val="Calibri"/>
        <family val="2"/>
        <scheme val="minor"/>
      </rPr>
      <t>Structured engagement required:</t>
    </r>
    <r>
      <rPr>
        <sz val="12"/>
        <color theme="1"/>
        <rFont val="Calibri"/>
        <family val="2"/>
        <scheme val="minor"/>
      </rPr>
      <t xml:space="preserve"> Projects must align with DOE environmental stewardship priorities and be executed through formal agreements (e.g., CRADA, SPP), which adds lead time.
</t>
    </r>
    <r>
      <rPr>
        <b/>
        <sz val="12"/>
        <color theme="1"/>
        <rFont val="Calibri"/>
        <family val="2"/>
        <scheme val="minor"/>
      </rPr>
      <t>High leverage, higher cost:</t>
    </r>
    <r>
      <rPr>
        <sz val="12"/>
        <color theme="1"/>
        <rFont val="Calibri"/>
        <family val="2"/>
        <scheme val="minor"/>
      </rPr>
      <t xml:space="preserve"> SRNL resources are best reserved for high-impact validation and demonstration activities, not routine laboratory screening.</t>
    </r>
  </si>
  <si>
    <t>SRNL, a multi-program national laboratory with an annual operating budget of ~$400M comes primarily from the U.S. Deapartment of Energy</t>
  </si>
  <si>
    <t xml:space="preserve">Ames National Laboratory - U.S. Department of Energy National Laboratory </t>
  </si>
  <si>
    <t>Department of Chemical Engineering (College of Engineering) DOE Energy Innovation Hub led by Ames National Laboratory focused on critical materials, including REEs. Ames National Laboratory (Ames Lab) is the U.S. DOE’s flagship national laboratory for critical materials science, with world-leading capabilities in rare earth elements (REEs), separation metallurgy, materials chemistry, and sustainable materials processing. Operated by Iowa State University, Ames Lab bridges fundamental materials science and deployable separation technologies, particularly for secondary and unconventional feedstocks.
For Nutri-Crops, Ames Lab is uniquely valuable where phosphogypsum (PG) is treated as a secondary critical-materials resource, enabling REE recovery while controlling impurities and radionuclides.</t>
  </si>
  <si>
    <t>Ames, Iowa, USA</t>
  </si>
  <si>
    <t>https://www.ameslab.gov/</t>
  </si>
  <si>
    <t>Separation science (electrodialysis, membranes, ion transport)  Rare earth element (REE) chemistry and metallurgy
Critical materials separation and recovery
Sustainable materials processing
Hydrometallurgy and solvent extraction
Separation from secondary and complex feedstocks
Materials lifecycle and supply-chain resilience</t>
  </si>
  <si>
    <t>Chemical digestion / liberation (Chemical Engineering) CMI runs a dedicated project explicitly titled “Total utilization of phosphogypsum waste for production of rare earth elements, fertilizers, and construction materials” with five major objectives:
Reduce radionuclides in PG (remove a hurdle to use)
Maximize REE leaching recovery
Develop REE extraction from leachate and produce mixed REE oxide/salt or individual metals
Make fertilizers using PG with CO₂ sequestration
Produce cement/concrete using PG with dramatic carbon footprint reduction vs current operations</t>
  </si>
  <si>
    <r>
      <t xml:space="preserve">Its </t>
    </r>
    <r>
      <rPr>
        <b/>
        <sz val="12"/>
        <color theme="1"/>
        <rFont val="Calibri"/>
        <family val="2"/>
        <scheme val="minor"/>
      </rPr>
      <t>Chemical Engineering department</t>
    </r>
    <r>
      <rPr>
        <sz val="12"/>
        <color theme="1"/>
        <rFont val="Calibri"/>
        <family val="2"/>
        <scheme val="minor"/>
      </rPr>
      <t xml:space="preserve"> is developing separation architectures applicable to phosphogypsum. / Maximum (explicit PG mission): one of the few U.S. lab programs with a clear “PG → REE + fertilizers + construction” scope and an explicit radionuclide reduction objective.  Ames Lab is highly relevant to PG because:
PG contains economically meaningful REE concentrations
REEs in PG are chemically coupled with radionuclides
Separation success determines economic viability
Ames Lab supports Nutri-Crops by:
Designing REE recovery pathways from PG
Managing radionuclide co-extraction risks
Improving economics and sustainability of PG valorization</t>
    </r>
  </si>
  <si>
    <t>“Five major objectives” structure above (explicit technical program definition).
(CMI public page does not publish throughput tons/year; its “numbers” are programmatic objectives and deliverable classes rather than production volumes.) Leadership of the DOE Critical Materials Institute (CMI)
Active programs in:
REE separation
Materials recycling and recovery
Strong collaboration with:
ORNL
PNNL
INL
Extensive experience transitioning materials science into industry-relevant processes</t>
  </si>
  <si>
    <t>Produces:
Separation technologies
Materials processing IP
Scalable metallurgical methods
IP is typically:
Government-owned
Licensed to industry through DOE mechanisms
Strong track record of technology transfer</t>
  </si>
  <si>
    <t>Other national laboratories (via NNLEMS coordination). Ames Lab operates through:
Multi-lab DOE programs (CMI)
CRADAs and Strategic Partnership Projects
Deep academic integration with:
Iowa State University
University of Illinois Urbana-Champaign
Purdue University
Industry-facing collaboration culture</t>
  </si>
  <si>
    <t>Requires:
Well-characterized PG feedstock
Coordination with radiological handling partners (ORNL/INL)
Not an agricultural field-testing institution
Engagement typically structured through DOE frameworks</t>
  </si>
  <si>
    <t>Ames Lab is valuable because it:
Turns PG from a liability into a critical-materials opportunity
Improves Nutri-Crops’ economic upside
Reduces dependence on primary REE mining
Strengthens U.S.–Africa critical-materials collaboration narratives
Aligns strongly with UM6P GHUS’s systems-level positioning</t>
  </si>
  <si>
    <t>Ames National Laboratory: https://www.ameslab.gov
DOE Critical Materials Institute: https://cmi.ameslab.gov</t>
  </si>
  <si>
    <t>Ames Lab should be positioned as the critical-materials and REE-recovery hub within Nutri-Crops. It is best engaged once PG chemistry is understood and before large-scale pilot economics are locked, ensuring REE recovery pathways are technically sound and economically defensible.</t>
  </si>
  <si>
    <t>U.S. Department of Energy (primary funder)
Office of Energy Efficiency &amp; Renewable Energy (EERE)
Critical Materials Institute (CMI)
Federal critical-materials programs
Industry partnerships via CRADA/SPP mechanisms</t>
  </si>
  <si>
    <t>Pacific Northwest National Laboratory (PNNL)</t>
  </si>
  <si>
    <t>Pacific Northwest National Laboratory (PNNL) is a leading DOE national laboratory with globally recognized capabilities in chemical separations, radiochemistry, environmental fate and transport, materials science, and systems integration. PNNL is especially strong at the interface of chemistry, environment, and deployment, making it a natural complement to ORNL and INL.
For Nutri-Crops, PNNL provides separation science, environmental validation, and system-level deployment insight for phosphogypsum (PG) and other nuclear-adjacent industrial residues.</t>
  </si>
  <si>
    <t>Richland, Washington, USA</t>
  </si>
  <si>
    <t>https://www.pnnl.gov/</t>
  </si>
  <si>
    <t>Chemical separations and solvent extraction
Radiochemistry and radionuclide behavior
Environmental fate and transport of contaminants
Subsurface science and geochemistry
Systems engineering and deployment under regulation
Waste processing and stabilization</t>
  </si>
  <si>
    <t>PNNL contributes through chemistry-to-deployment workflows, including:
Advanced chemical separations
Solvent extraction and selective ligands
Ion exchange and sorbent-based systems
Radiochemistry and speciation analysis
Low- to moderate-activity radionuclide handling
Environmental fate &amp; transport modeling
Soil–water–mineral interactions
Long-term contaminant mobility
Systems integration
Linking separation chemistry with environmental outcomes
Pilot-scale validation logic</t>
  </si>
  <si>
    <t>PNNL is highly relevant to PG because:
PG separations must work chemically and environmentally
Environmental mobility is a major regulatory concern
Scale-up requires systems thinking
PNNL supports Nutri-Crops by:
Validating radionuclide and REE separation pathways
Assessing environmental behavior post-processing
Reducing risk of regulatory or environmental failure</t>
  </si>
  <si>
    <t>Long-standing leadership in:
DOE environmental management programs
Nuclear waste and contaminant remediation
Operation of:
Radiochemistry laboratories
Environmental testbeds
Extensive collaboration with:
ORNL
INL
PNW universities (WSU, Oregon State)
Strong history of translating chemistry into field-relevant solutions</t>
  </si>
  <si>
    <t>PNNL operates through:
CRADAs and Strategic Partnership Projects (SPPs)
Multi-lab DOE programs
Deep university collaboration with:
Washington State University
Oregon State University
University of Washington
Industry-facing applied research
Culture emphasizes open, consortium-based execution and deployment realism.</t>
  </si>
  <si>
    <t>Requires:
Clearly defined PG streams and objectives
Coordination with ORNL/INL for higher-activity materials
Not an agricultural field-trial institution (must pair with K-State, Purdue, OSU)</t>
  </si>
  <si>
    <t>PNNL is valuable because it:
Combines separations chemistry with environmental realism
Reduces risk of post-deployment contamination
Strengthens regulatory defensibility
Complements ORNL and INL without overlap
Is geographically aligned with WSU and OSU for integrated hubs</t>
  </si>
  <si>
    <t>Pacific Northwest National Laboratory: https://www.pnnl.gov
Chemical &amp; Environmental Sciences Division: https://www.pnnl.gov/chemical-environmental-sciences</t>
  </si>
  <si>
    <t>PNNL should be positioned as a mid-to-late-stage validation and systems-integration hub, engaged once separation chemistry is defined and before or during pilot deployment. It is especially valuable for addressing environmental fate, long-term behavior, and regulatory risk, which are often decisive for PG reuse.</t>
  </si>
  <si>
    <t>U.S. Department of Energy (primary funder)
Office of Environmental Management
Office of Science
Federal environmental remediation programs
Industry partnerships via CRADA/SPP</t>
  </si>
  <si>
    <t>Idaho National Laboratory</t>
  </si>
  <si>
    <t>Idaho National Laboratory (INL) is the U.S. DOE’s lead national laboratory for nuclear energy research, with deep capabilities in nuclear fuel cycle chemistry, radiochemistry, waste processing, materials behavior, and deployment-grade engineering under strict regulatory frameworks. INL specializes in translating nuclear and radiochemical science into operational, regulated, and scalable systems.
For Nutri-Crops, INL is particularly valuable where phosphogypsum (PG) is treated as a nuclear-adjacent material (NORM/TENORM): bridging radiochemistry, systems engineering, waste classification, and long-term performance.</t>
  </si>
  <si>
    <t>Idaho Falls, Idaho, USA</t>
  </si>
  <si>
    <t>https://inl.gov/integrated-energy/</t>
  </si>
  <si>
    <t>Waste-to-resource systems Radiochemistry and nuclear fuel cycle chemistry
Nuclear materials processing and behavior
Radioactive waste treatment and waste forms
Separation systems (nuclear-adjacent)
Systems engineering under DOE/NRC compliance
Long-term performance and safety analysis</t>
  </si>
  <si>
    <r>
      <t xml:space="preserve">Research coordinated through </t>
    </r>
    <r>
      <rPr>
        <b/>
        <sz val="12"/>
        <color theme="1"/>
        <rFont val="Calibri"/>
        <family val="2"/>
        <scheme val="minor"/>
      </rPr>
      <t>C²M</t>
    </r>
    <r>
      <rPr>
        <sz val="12"/>
        <color theme="1"/>
        <rFont val="Calibri"/>
        <family val="2"/>
        <scheme val="minor"/>
      </rPr>
      <t xml:space="preserve"> to ensure industry relevance. INL contributes through deployment-grade, compliance-driven approaches, including:
Radiochemical processing &amp; analysis
Actinide and fission-product handling
Nuclear-adjacent chemical separations
Waste form development &amp; conditioning
Stabilization, immobilization, and classification
Long-term durability testing
Systems engineering
Integrated flowsheets
Pilot-to-demonstration logic
Safety &amp; performance assessment
Long-term behavior modeling
Regulatory-grade documentation
Relevance to Phosphogypsum</t>
    </r>
  </si>
  <si>
    <t>INL is highly relevant to PG because:
PG behaves like low-activity nuclear-adjacent material
Regulatory treatment, classification, and long-term behavior are decisive
Scale-up must survive DOE-level scrutiny
INL supports Nutri-Crops by:
Treating PG pathways within nuclear systems logic
Validating processing, stabilization, and reuse vs disposal decisions
Reducing risk of regulatory or long-term performance failure</t>
  </si>
  <si>
    <t>DOE lead laboratory for:
Nuclear fuel cycle R&amp;D
Waste processing and management
Operation of:
Hot cells
Radiochemical laboratories
Extensive collaboration with:
Universities (MIT, Texas A&amp;M, University of Idaho, Michigan, NC State)
Other national labs (ORNL, SRNL)
Long history of pilot- and demonstration-scale nuclear systems work</t>
  </si>
  <si>
    <t>Produces:
Deployment-ready process IP
Waste-form and stabilization technologies
Systems and safety methodologies
IP is typically:
Government-owned or shared under CRADA/SPP frameworks
Designed for technology transition, not publication only</t>
  </si>
  <si>
    <t>INL operates through:
CRADAs (Cooperative Research and Development Agreements)
Strategic Partnership Projects (SPPs)
Multi-university DOE consortia
University–lab joint appointments and graduate pipelines
Key academic collaborators include:
MIT
Texas A&amp;M University
University of Michigan
North Carolina State University
University of Idaho
University of Tennessee, Knoxville</t>
  </si>
  <si>
    <t>Requires:
Clearly defined PG processing concepts
Alignment with DOE program objectives
Engagement often structured through:
Formal agreements (CRADA/SPP)
Not an agricultural field-testing institution (must pair with K-State, UC Davis, Iowa State)</t>
  </si>
  <si>
    <t>INL is valuable because it:
Treats PG within serious nuclear-systems logic
Reduces risk of regulatory, safety, and long-term failure
Bridges lab success to demonstration-scale reality
Complements ORNL by emphasizing systems engineering and waste-form durability
Together, ORNL + INL give Nutri-Crops full nuclear-grade credibility.</t>
  </si>
  <si>
    <t>Idaho National Laboratory: https://www.inl.gov
INL Nuclear Energy Programs: https://www.inl.gov/nuclear-energy
Research Programs Overview: https://www.inl.gov/research-programs</t>
  </si>
  <si>
    <t>INL should be positioned as a late-stage deployment and systems-validation hub, engaged after chemistry and separation pathways are defined and before or during pilot/demonstration decisions. INL is especially critical if PG solutions must withstand DOE, NRC, or international nuclear-grade scrutiny.</t>
  </si>
  <si>
    <t>U.S. Department of Energy (primary funder)
Office of Nuclear Energy
Office of Environmental Management
Federal nuclear and waste-management programs
Industry partnerships via CRADA/SPP mechanisms</t>
  </si>
  <si>
    <t>Sandia National Laboratories</t>
  </si>
  <si>
    <t>Sandia National Laboratories is a U.S. Department of Energy (DOE) National Laboratory primarily funded by the National Nuclear Security Administration (NNSA) and operated by National Technology &amp; Engineering Solutions of Sandia (NTESS). Sandia’s core mission is to apply advanced science and engineering to solve complex national-scale problems, particularly where safety, security, reliability, and long-term performance are critical.
Unlike discovery-oriented national labs, Sandia is internationally recognized for its strength in applied engineering, systems integration, materials durability, radiation effects, and risk-informed decision-making. It plays a central role in translating laboratory science into deployable, regulator-ready technologies, especially in domains involving hazardous materials, radioactive elements, and long-term environmental stewardship.
For the NutriCrops phosphogypsum and radionuclide elimination challenge, Sandia’s value lies in its ability to engineer, test, validate, and de-risk treatment systems, waste forms, and containment strategies under real-world operational and regulatory constraints.</t>
  </si>
  <si>
    <t>Headquarters: Albuquerque, New Mexico
Secondary campus: Livermore, California</t>
  </si>
  <si>
    <t>https://www.sandia.gov/</t>
  </si>
  <si>
    <t>Applied systems engineering, radiation effects, materials durability, waste form stabilization, pilot-scale process engineering, and safety-by-design for hazardous and radioactive materials.
Sandia is particularly relevant for:
Stabilization and immobilization of radionuclides
Radiation-tolerant materials and containment systems
Long-term performance modeling of waste-derived products
Engineering of integrated treatment trains for complex waste streams (e.g., phosphogypsum)</t>
  </si>
  <si>
    <t>Radionuclide stabilization &amp; waste forms
Development and testing of cementitious, ceramic, glass, and hybrid matrices
Leaching resistance and long-term degradation testing
Radiation effects &amp; durability testing
Exposure of materials to radiation, thermal cycling, and chemical stressors
Failure-mode analysis and lifespan modeling
System-level engineering &amp; integration
Translation of separation or capture concepts into pilot-scale architectures
Process safety analysis and operational envelope definition
Regulatory &amp; safety alignment
Engineering support aligned with DOE/NRC-style safety cases</t>
  </si>
  <si>
    <t>Sandia National Laboratories is highly relevant to phosphogypsum challenges as an applied engineering and risk-reduction partner rather than a discovery lab.                                                                             Sandia is not the lab that “discovers” how to remove radionuclides from phosphogypsum  it is the lab that proves the solution is safe, durable, scalable, and regulator-ready.
Sandia’s strengths directly address the main PG bottlenecks:
Radionuclide stabilization and immobilization (Ra-226, U/Th) through engineered waste forms
Long-term leaching, durability, and performance testing, critical for regulatory acceptance of PG reuse
System-level engineering and safety analysis for large-volume PG treatment and conversion processes
Radiation effects and material degradation testing for PG-derived products
Regulatory credibility, supporting EPA and state-level confidence in pilot and deployment phases</t>
  </si>
  <si>
    <t>Radionuclide immobilization &amp; waste form testing:
Ongoing R&amp;D on cementitious, ceramic, and composite waste forms, including leaching resistance, durability, and long-term performance modeling for radioactive and hazardous materials (applied across DOE waste programs).
Radiation effects &amp; materials degradation:
Active testing programs on material behavior under radiation, thermal cycling, and chemical stress, directly relevant to PG-derived materials and containment systems.
Performance assessment &amp; risk modeling:
Continuous development and application of long-term performance and environmental risk models used by DOE and regulators to evaluate radioactive material stability over decades.
System-level engineering &amp; safety analysis:
Active role in integrated process design, failure-mode analysis, and safety-by-design for complex waste treatment and handling systems.
Multi-lab &amp; industry collaboration:
Regular participation in DOE multi-laboratory programs, CRADAs, and Work-for-Others projects with industry and government agencies on waste management, materials durability, and environmental systems.</t>
  </si>
  <si>
    <t>Technology Partnerships Office (TPO):
Supports licensing, CRADAs, and Work-for-Others (WFO) agreements
https://www.sandia.gov/engagements/
IP strengths are primarily engineering-, system-, and materials-oriented, complementing discovery chemistry from labs such as LBNL or ORNL.</t>
  </si>
  <si>
    <t>Mission-driven, highly structured collaboration
Extensive use of CRADAs, WFO agreements, and multi-lab programs
Proven experience coordinating with industry, regulators, and other national labs</t>
  </si>
  <si>
    <t>Requires clearly scoped engineering questions
Engagement typically depends on formal DOE contracting mechanisms
Maximum value when paired with discovery and separation chemistry partners</t>
  </si>
  <si>
    <t>Bridges discovery science to deployment
Provides regulator-trusted engineering validation
Reduces long-term performance and safety uncertainty
Anchors pilot-to-demonstration phases of NutriCrops</t>
  </si>
  <si>
    <t>https://www.energy.gov/nnsa/national-nuclear-security-administration                                                                                                                            https://www.sandia.gov/</t>
  </si>
  <si>
    <t>Sandia should be positioned as a core applied engineering anchor in the NutriCrops U.S. ecosystem, paired with:
Discovery labs (LBNL, ORNL)
Industrial operators (phosphate producers, remediation firms)
This combination creates a credible, end-to-end pathway from separation science to deployable, regulator-aligned solutions.</t>
  </si>
  <si>
    <t>Annual budget: approximately $4–5 billion
Primary sponsor: DOE National Nuclear Security Administration (NNSA)</t>
  </si>
  <si>
    <t>Lawrence Berkeley National Laboratory</t>
  </si>
  <si>
    <t>Lawrence Berkeley National Laboratory (LBNL) is a premier U.S. Department of Energy national laboratory operated by the University of California. It is internationally recognized for materials science, chemical separations, environmental geochemistry, and radiochemical research, with a strong track record of translating fundamental science into deployable industrial solutions.
LBNL plays a central role in U.S. DOE initiatives related to critical minerals, nuclear materials, environmental remediation, and circular economy pathways, making it a high-credibility partner for phosphogypsum (PG) transformation and radioactive element mitigation.</t>
  </si>
  <si>
    <t>Berkeley, California, USA</t>
  </si>
  <si>
    <t>https://www.lbl.gov/</t>
  </si>
  <si>
    <t>Radiochemistry and actinide chemistry
Chemical separations and solvent extraction
Mineral processing and solid–liquid interfaces
Critical minerals recovery (REEs, U, Th)
Environmental geochemistry and contaminant fate
Advanced materials synthesis and characterization
AI-enabled materials discovery (cross-cutting)</t>
  </si>
  <si>
    <t>1. Advanced Chemical Separations
Ion exchange and solvent extraction systems for low-concentration REEs
Selective separation of uranium, thorium, and radium analogs
Electrochemical and low-energy separation pathways
2. Radiochemical Speciation
Identification of how radionuclides bind within gypsum matrices
Differentiation between structurally bound vs. surface-adsorbed radionuclides
Supports targeted removal rather than bulk treatment
3. Synchrotron-Based Characterization
Use of the Advanced Light Source (ALS) to analyze:
REE distribution at micron and nano scale
Radionuclide localization within PG
Mineralogical transformations post-treatment
4. Environmental Geochemistry
Modeling radionuclide mobility under:
Soil application
Agricultural exposure scenarios
Long-term weathering and leaching conditions</t>
  </si>
  <si>
    <t xml:space="preserve">LBNL directly addresses three core NutriCrops challenges:
Eliminating or reducing radioactive elements in phosphogypsum
Radium, uranium, thorium removal or immobilization
Generation of regulator-defensible data
Transforming PG from liability to resource
Enabling reuse pathways aligned with fertilizer, construction, or soil applications
Linking remediation to economic value creation
De-risking scale-up
Translating lab-scale breakthroughs into pilot-ready processes
Supporting techno-economic and lifecycle feasibility                                           </t>
  </si>
  <si>
    <t>Active DOE-funded programs on:
Nuclear waste chemistry
Critical mineral recovery from waste streams
Advanced separations science
Peer-reviewed publications on:
Actinide behavior in complex mineral matrices
Novel sorbents and extraction chemistries
Participation in national critical minerals and circular economy initiatives</t>
  </si>
  <si>
    <t>IPO capabilities: Berkeley Lab’s IPO explicitly supports technology transfer &amp; licensing, plus standard research enabling instruments like NDAs/MTAs and industry-facing licensing processes.
Commercialization pathway advantage: Cyclotron Road provides a recognized lab-embedded venture pipeline (useful if NutriCrops wants a spinout-able module or to co-develop with entrepreneurial fellows).
Practical implication for UM6P GHUS: LBNL can support either (a) joint invention with licensing potential via IPO, or (b) validation + de-risking work that strengthens downstream licensing/partnering with industrial implementers.</t>
  </si>
  <si>
    <t>Collaboration-first, platform lab model:
User-facility driven (ALS, Molecular Foundry) → supports multi-institution + industry users with shared instrumentation access.
Industry-facing IP/licensing processes via IPO
Entrepreneurship translation channel via Cyclotron Road (Activate/LEEP)</t>
  </si>
  <si>
    <t>Access model &amp; scheduling: user facility time is valuable and scheduled; projects need early booking and clean experimental design.
Data &amp; sample logistics: radionuclide-bearing materials can trigger handling/shipping constraints; may require surrogate testing first, then controlled materials pathways.
Scale-up dependency: to reach pilot, NutriCrops will likely need an applied engineering partner + a host site (e.g., phosphate operator) beyond LBNL’s core role.</t>
  </si>
  <si>
    <t>Selectivity science edge (actinide/strategic element separation breakthroughs) that can be adapted to radionuclide decontamination logic.
Validation credibility: ALS + Molecular Foundry capabilities provide defensible, regulator-grade characterization and mechanism proof.
IP + translation infrastructure: IPO licensing pathways + Cyclotron Road entrepreneurship channel make it easier to move from lab result → partnered technology package.</t>
  </si>
  <si>
    <t>https://www.energy.gov/science/office-science-laboratories + https://chemicalsciences.lbl.gov/2019/06/04/purifying-elements-just-became-easier/?utm_source=chatgpt.com</t>
  </si>
  <si>
    <t>reat LBNL as a “science and validation keystone” rather than the primary pilot operator.
The most effective engagement format is typically:
Define a tight technical hypothesis (e.g., “selective removal of Ra/U/Th under WPA/PG-relevant ionic conditions”),
Run bench-scale + mechanism work with LBNL chemistry teams,
Use ALS/Foundry to generate “hard proof” characterization that strengthens the case for regulators and industrial offtakers,
Hand off to scale-up/deployment partners for pilot execution.</t>
  </si>
  <si>
    <t>DOE FY2025 budget authority for Lawrence Berkeley National Laboratory (gross level):
FY2025 President’s Budget: $971,513k (≈ $971.5M)
Illustrative FY2025 program lines inside LBNL (selected):
Advanced Scientific Computing Research: $262,992k
Basic Energy Sciences: $227,205k
Biological &amp; Environmental Research: $189,827k
(Also visible in the same table: High Energy Physics, Fusion Energy Sciences, Safeguards &amp; Security, and more.)</t>
  </si>
  <si>
    <t xml:space="preserve">Brookhaven National Laboratory </t>
  </si>
  <si>
    <t>Brookhaven National Laboratory is a U.S. Department of Energy (DOE) Office of Science National Laboratory, operated by Brookhaven Science Associates (Stony Brook University + Battelle). BNL’s mission is to advance fundamental and applied science in energy, environment, materials, chemistry, and nuclear science, supported by world-class user facilities and large-scale research infrastructure.
Brookhaven is internationally recognized for its strengths in nuclear chemistry, radiochemistry, materials science, catalysis, isotope science, and advanced characterization, making it particularly relevant for radionuclide behavior, trace element analysis, and transformation of complex inorganic materials.</t>
  </si>
  <si>
    <t>Primary campus: Upton, Long Island, New York</t>
  </si>
  <si>
    <t>https://www.bnl.gov/</t>
  </si>
  <si>
    <t>Radiochemistry, isotope science, nuclear materials behavior, catalysis, environmental chemistry, and advanced synchrotron-based characterization.
BNL is particularly relevant for:
Understanding radionuclide speciation and mobility in complex mineral matrices
Characterization of PG-derived materials at trace and microstructural levels
Catalytic and chemical transformation pathways for inorganic waste materials
Isotope-sensitive analysis and nuclear materials handling</t>
  </si>
  <si>
    <t>Radiochemistry &amp; isotope science
Study of radioactive element behavior, speciation, and transformations
Expertise relevant to Ra-226, uranium, thorium, and decay-chain behavior in PG
Advanced materials characterization
Use of the National Synchrotron Light Source II (NSLS-II) for ultra-high-resolution chemical, structural, and elemental analysis
Trace-level validation critical for regulatory and safety cases
Catalysis &amp; chemical transformation
Research on inorganic catalysis and surface chemistry applicable to PG treatment, conversion, or stabilization processes
Environmental chemistry &amp; fate modeling
Understanding transport, leaching, and long-term environmental behavior of contaminants</t>
  </si>
  <si>
    <t>Brookhaven National Laboratory is highly relevant to phosphogypsum challenges through its expertise in radiochemistry, isotope science, and synchrotron-based trace characterization, enabling precise understanding of radionuclide speciation, mobility, and stability in PG and PG-derived materials. BNL strengthens scientific credibility and regulatory confidence, particularly in early-stage validation and safety assessment.</t>
  </si>
  <si>
    <t>Radiochemistry &amp; nuclear materials research addressing radioactive element behavior and transformation
Active operation of NSLS-II, used for trace radionuclide, mineral, and materials characterization
Environmental chemistry studies focused on contaminant fate and transport
Ongoing DOE-funded research programs in catalysis, materials science, and isotope science relevant to inorganic waste streams</t>
  </si>
  <si>
    <t>Technology commercialization:
Brookhaven has an active Technology Commercialization and Partnerships (TCP) office supporting licensing, CRADAs, and industry collaborations.
https://www.bnl.gov/techtransfer/
IP strengths are concentrated in:
Analytical methods
Materials processing and transformation
Nuclear and isotope-related technologies</t>
  </si>
  <si>
    <t>Strong user-facility–driven collaboration model (NSLS-II)
Frequent participation in multi-lab DOE programs
Active engagement with universities, industry, and federal agencies through CRADAs and sponsored research</t>
  </si>
  <si>
    <t>Best suited to defined scientific or analytical questions, not full system engineering
User facility access (NSLS-II) requires advance planning and proposal approval
Maximum impact when integrated into multi-lab consortia</t>
  </si>
  <si>
    <t>Provides definitive, trace-level evidence of radionuclide behavior needed for regulatory and stakeholder confidence
Enables mechanistic understanding of PG stability, leaching, and transformation pathways
Acts as a validation authority that strengthens downstream engineering and deployment efforts
Complements discovery labs (LBNL, ORNL) and applied engineering labs (Sandia, INL) in a multi-lab NutriCrops consortium</t>
  </si>
  <si>
    <t>Brookhaven National Laboratory – Official Website
https://www.bnl.gov
DOE Office of Science – Brookhaven National Laboratory
https://science.osti.gov/Labs/BNL
Radiochemistry, Isotope Science &amp; Nuclear Materials
3. Brookhaven Nuclear &amp; Radiochemistry Programs
https://www.bnl.gov/nns/
Isotope Research &amp; Production
https://www.bnl.gov/isotopes/</t>
  </si>
  <si>
    <t>Brookhaven should be positioned as a Tier-1 science and validation hub for NutriCrops, anchoring radionuclide characterization and safety evidence, while scale-up and deployment are led by applied engineering labs and industrial partners.</t>
  </si>
  <si>
    <t>Annual budget: approximately $1.2–1.4 billion
Primary sponsor: U.S. Department of Energy – Office of Science</t>
  </si>
  <si>
    <t xml:space="preserve">National Energy Technology Laboratory </t>
  </si>
  <si>
    <t>The National Energy Technology Laboratory (NETL) is a U.S. Department of Energy (DOE) national laboratory focused on applied research, engineering, and technology development to enable secure, sustainable, and environmentally responsible energy and industrial systems. Unlike Office of Science labs, NETL is mission- and deployment-oriented, with deep expertise in process engineering, materials durability, environmental management, carbon and mineral systems, and large-scale pilot validation.
NETL’s work sits squarely at the interface of science, engineering, and deployment, making it highly relevant for industrial waste valorization, large-volume byproduct management, and regulatory-aligned technology scale-up—all central to phosphogypsum challenges.</t>
  </si>
  <si>
    <t>NETL operates as a multi-site national lab:
Albany, Oregon
Pittsburgh, Pennsylvania
Morgantown, West Virginia
Houston, Texas (program office)</t>
  </si>
  <si>
    <t>https://www.netl.doe.gov/</t>
  </si>
  <si>
    <t>Industrial process engineering, mineral and waste systems, environmental management, materials performance, pilot-scale validation, and techno-economic analysis (TEA).
NETL is particularly relevant for:
Large-volume industrial byproducts (coal ash, mine tailings, slags, mineral residues)
Mineral transformation and stabilization
Environmental risk and lifecycle analysis
Pilot and demonstration-scale validation
These capabilities translate directly to phosphogypsum treatment, reuse, and conversion pathways.</t>
  </si>
  <si>
    <t>Industrial waste &amp; mineral systems engineering
Engineering solutions for handling, stabilizing, and transforming large-volume mineral byproducts
Experience with waste streams comparable in scale and complexity to PG
Materials durability &amp; environmental performance
Testing of material stability, leaching behavior, and long-term performance under environmental stressors
Pilot-scale validation &amp; demonstration
NETL routinely supports bench → pilot → demonstration transitions, including facility design and operational risk analysis
Techno-economic &amp; lifecycle analysis (TEA/LCA)
Quantitative assessment of cost, scalability, environmental impact, and regulatory feasibility</t>
  </si>
  <si>
    <t>NETL is highly relevant to phosphogypsum as an industrial-scale engineering and deployment lab, with direct experience in large-volume mineral byproduct management, stabilization, reuse, and environmental performance assessment. NETL enables PG solutions to move from validated concepts to costed, pilot-ready, regulator-aligned systems.</t>
  </si>
  <si>
    <t>Active DOE programs on industrial waste utilization, mineral byproducts, and materials durability
Ongoing pilot- and demonstration-scale projects for large-volume material systems
Routine application of TEA and LCA to evaluate economic and environmental viability
Direct engagement with industry on waste valorization and environmental mitigation technologies</t>
  </si>
  <si>
    <t>Active Technology Transfer and Partnerships program supporting:
Licensing
Cooperative Research and Development Agreements (CRADAs)
Industry–government co-development
IP is typically process-, system-, and deployment-oriented, well suited for industrial-scale PG solutions.</t>
  </si>
  <si>
    <t>Strong industry-facing and deployment-driven collaboration model
Extensive experience managing:
Public–private partnerships
Multi-lab DOE programs
Large industrial pilot and demonstration projects
NETL frequently works directly with industrial operators, regulators, and applied engineering partners.</t>
  </si>
  <si>
    <t>Requires defined process concepts (not open-ended discovery)
Engagement typically structured around DOE-funded or cost-shared programs
Maximum impact when paired with discovery and validation partners upstream</t>
  </si>
  <si>
    <t>Brings real-world scale and cost discipline to PG solutions
Enables pilot-to-demonstration pathways critical for impact
Reduces risk that PG innovations fail due to economics or operability
Complements:
Discovery labs (LBNL, ORNL)
Engineering validation labs (Sandia)
Characterization labs (Brookhaven)</t>
  </si>
  <si>
    <t>National Energy Technology Laboratory – Official Website
https://www.netl.doe.gov
U.S. Department of Energy – NETL Overview
https://www.energy.gov/netl
Mineral Systems, Waste &amp; Environmental Management
3. NETL – Materials &amp; Minerals Research
https://www.netl.doe.gov/research/materials
NETL – Environmental &amp; Sustainability Research
https://www.netl.doe.gov/research/environmental</t>
  </si>
  <si>
    <t>NETL should be positioned as a core deployment and scale-up anchor in the NutriCrops U.S. ecosystem—responsible for turning PG concepts into economically viable, pilot-ready systems, while upstream labs focus on chemistry, separations, and validation.</t>
  </si>
  <si>
    <t>Annual budget: approximately $700–900 million
Primary sponsor: U.S. Department of Energy (applied energy and environmental programs)</t>
  </si>
  <si>
    <t xml:space="preserve">Los Almos National Laboratory </t>
  </si>
  <si>
    <t>Los Alamos National Laboratory is a DOE national laboratory operated by Triad National Security, LLC, with world-leading expertise in radiochemistry, actinide science, low-level radioactive materials, and environmental fate of radionuclides. LANL combines fundamental science, applied chemistry, advanced modeling, and field validation for complex radioactive systems.</t>
  </si>
  <si>
    <t>Los Alamos, New Mexico, USA</t>
  </si>
  <si>
    <t>https://www.lanl.gov/</t>
  </si>
  <si>
    <t>Radiochemistry and actinide chemistry
Low-level radioactive material characterization
Environmental fate and transport of radionuclides
Mineral–radionuclide interactions
Advanced analytical techniques (alpha spectrometry, gamma spectroscopy, mass spectrometry)</t>
  </si>
  <si>
    <t>Radionuclide speciation and binding analysis in mineral and waste matrices
Selective separation and immobilization mechanisms for Ra-226 and uranium decay chains
Coupled experimental + computational modeling of radionuclide behavior
Environmental risk modeling under reuse, stabilization, or disposal scenarios</t>
  </si>
  <si>
    <t>Phosphogypsum radioactivity (Ra-226, U-series) is a core LANL competency domain
LANL can:
Determine how radionuclides are bound in PG at the molecular level
Identify pathways for selective removal or long-term stabilization
Support regulatory-defensible safety assessments for reuse scenarios
Particularly valuable for understanding variability across PG sources and processing conditions</t>
  </si>
  <si>
    <t>Active DOE programs on:
Low-level radioactive waste characterization
Environmental radionuclide transport
Actinide and decay-chain chemistry
Longstanding collaboration with EPA, DOE-EM, and international nuclear agencies
Extensive publication record in radiochemistry and environmental nuclear science</t>
  </si>
  <si>
    <t>LANL has an established technology transfer function (via the Feynman Center for Innovation) and supports multiple collaboration instruments (e.g., CRADAs and other partner agreements) to move lab-developed technologies toward deployment.
For NutriCrops-relevant work, LANL’s core strength is radionuclide science (radiochemistry, actinide chemistry, isotope/radiological characterization) rather than “single product” PG solutions marketed as a standalone technology.
Practical implication: NutriCrops should treat LANL as a high-authority science + validation node (mechanisms, speciation, proof, safety case), with commercialization typically happening through partners.</t>
  </si>
  <si>
    <t>LANL explicitly supports collaboration via formal partner agreements and works with businesses and organizations to access facilities and expertise.
New Mexico also operates tech maturation support mechanisms linked to LANL/Sandia licensing/CRADA pathways (useful if a startup partner is involved).</t>
  </si>
  <si>
    <t>Material handling + controls: Radiological work requires stringent safety/security and controlled workflows.
Regulatory acceptance: Even if radionuclide levels drop, reuse pathways must match evolving federal/state requirements.
Sample access &amp; representativeness: Need real PG feedstocks from targeted basins (e.g., Florida stacks) to avoid lab artifacts.
Partner for scale-up: LANL is not typically the “pilot plant operator”; industry/university engineering partners usually are.
(General constraints consistent with radiochemistry complexity and controlled-substance handling realities.</t>
  </si>
  <si>
    <t>Credibility: LANL provides “hard proof” capabilities—speciation + isotopic/radiological characterization—to validate that a process truly reduces radionuclide risk.
Mechanism-first advantage: Helps NutriCrops avoid dead-end scale-up by clarifying what is chemically feasible vs. what only looks good in bulk assays.
Safety-case backbone: Supports the technical narrative regulators and industrial stakeholders require before reuse or conversion at scale.</t>
  </si>
  <si>
    <t>https://www.lanl.gov
Radiochemistry &amp; Nuclear Chemistry Capabilities
LANL Chemistry Division – Nuclear &amp; Radiochemistry
https://www.lanl.gov/engage/organizations/cels/chemistry/nuclear-radiochemistry.php
Actinide Science &amp; Radionuclide Expertise
LANL Actinide Operations &amp; Research
https://www.lanl.gov/projects/actinide-operations.php
Environmental Fate &amp; Transport of Radionuclides
LANL Environmental Systems Science
https://www.lanl.gov/research/environmental.php
Analytical &amp; Radiological Characterization Infrastructure
OSTI (U.S. DOE) – LANL Radiochemical Characterization Example
https://www.osti.gov/servlets/purl/1091839
Technology Transfer &amp; IP / Collaboration Mechanisms
LANL Feynman Center for Innovation – Partner Agreements (CRADA, WFO, Licensing)
https://www.lanl.gov/engage/collaboration/feynman-center/partner-with-us/agreements.php</t>
  </si>
  <si>
    <t>Best use of LANL in NutriCrops: “Science authority + validation + safety-case builder.”
To make LANL maximally useful, pair them with:
a PG source owner/operator (for feedstock + constraints)
an engineering scale-up partner (process design, pilots)
a regulatory engagement track (reuse acceptability)
If NutriCrops is positioned as an open innovation challenge, LANL is ideal as the reference lab to validate results across solution teams.</t>
  </si>
  <si>
    <t>DOE publishes laboratory budget authority tables for FY2025 (authoritative federal source).
Public reporting on LANL FY2025 indicates an overall budget on the order of ~$5.28B (economic impact reporting).
LANL also runs internal R&amp;D investment via Laboratory Directed Research and Development (LDRD) with annual reports available.
(For NutriCrops: best strategy is to align with DOE program calls + lab partnership mechanisms, rather than expecting LANL to “fund the project” directly.)</t>
  </si>
  <si>
    <t xml:space="preserve">Battelle Memorial Institute </t>
  </si>
  <si>
    <t>Battelle Memorial Institute is the world’s largest independent nonprofit applied science and technology organization, founded in 1929. Battelle specializes in translating scientific research into deployable solutions across energy, materials, environment, national security, health, and advanced manufacturing.
Critically for NutriCrops, Battelle operates as a neutral integrator, capable of coordinating universities, national laboratories, startups, industry, and government agencies within large, complex, open-innovation programs.
Battelle manages or co-manages multiple U.S. Department of Energy (DOE) national laboratories, giving it unparalleled experience in multi-institution R&amp;D orchestration.</t>
  </si>
  <si>
    <t>Headquarters: Columbus, Ohio, USA
Major U.S. Operations:
Ohio
Tennessee
New Mexico
California
Washington, DC area
Operational Footprint: Nationwide + international project delivery</t>
  </si>
  <si>
    <t>https://www.battelle.org/</t>
  </si>
  <si>
    <t>Industrial waste remediation &amp; reuse
Materials science &amp; mineral processing
Environmental engineering &amp; risk management
Radioactive and hazardous materials handling
Systems engineering &amp; scale-up
Pilot and demonstration project management
Technology transition &amp; deployment</t>
  </si>
  <si>
    <t>Systems integration across multiple actors
Applied engineering &amp; pilot design
Field demonstrations and testbeds
Techno-economic and lifecycle analysis
Program management for large R&amp;D consortia
Regulatory and stakeholder engagement</t>
  </si>
  <si>
    <t>Battelle has decades of experience with:
Low-level radioactive materials
Industrial residues containing NORM
Long-term containment, stabilization, and reuse
Environmental risk mitigation at scale
Battelle’s expertise is particularly relevant for:
Radium-bearing materials
Waste streams requiring both technical mitigation and regulatory acceptance
Multi-site industrial challenges similar in scale to U.S. phosphogypsum stacks
 Battelle is not a phosphate chemistry specialist — its value is in making complex PG solutions operational, scalable, and regulator-ready.</t>
  </si>
  <si>
    <t>Management or co-management of DOE national laboratories, including:
Oak Ridge National Laboratory (ORNL)
Idaho National Laboratory (INL)
Savannah River National Laboratory (SRNL) (historical/adjacent involvement)
Leadership of large, federally funded applied research programs
Delivery of industrial waste remediation and materials reuse projects
Trusted partner for:
DOE
DoD
EPA
Major industrial operators</t>
  </si>
  <si>
    <t>Battelle operates a flexible IP model:
Joint IP ownership
Licensing
Background IP protection
Comfortable managing:
Multi-owner IP environments
Pre-competitive innovation frameworks
This makes Battelle particularly suitable for NutriCrops open innovation, where IP boundaries must be carefully managed across multiple partners.</t>
  </si>
  <si>
    <t>Strongly Open &amp; Programmatic
Experienced in:
Multi-lab DOE programs
Public–private partnerships
Cross-sector consortia
International collaboration experience
Neutral, non-commercial convening role</t>
  </si>
  <si>
    <t>Not a discovery-focused institution
Requires:
Clearly defined technical inputs from labs/universities
Well-scoped applied objectives
Most effective when paired with:
ORNL / SRNL (science)
FIPR (phosphate domain)
EPRI (deployment &amp; regulation)</t>
  </si>
  <si>
    <t>Can act as:
Program integrator
Pilot coordinator
Neutral innovation manager
Reduces execution risk for:
Multi-site pilots
Multi-partner IP environments
Enables UM6P-GHUS to lead large, credible, U.S.-based innovation programs without needing to manage all technical details internally</t>
  </si>
  <si>
    <t>https://www.battelle.org/
https://www.battelle.org/about
https://www.battelle.org/what-we-do
https://www.battelle.org/what-we-do/national-laboratories
https://www.battelle.org/about/financials</t>
  </si>
  <si>
    <t>Battelle is uniquely positioned to serve as the “backbone organization” for a NutriCrops Open Innovation Consortium. It allows UM6P-GHUS to:
Lead globally while executing locally
Coordinate U.S. national labs without bilateral overload
De-risk complex PG and radionuclide innovation pathways</t>
  </si>
  <si>
    <t>Oak Ridge National Laboratory (ORNL)-Chemical Separations/ Radiochemistry Hub</t>
  </si>
  <si>
    <t>Oak Ridge National Laboratory (ORNL) is a U.S. Department of Energy national laboratory with world-leading capabilities in radiochemistry, chemical separations, isotope science, and nuclear materials processing. ORNL has a long history of developing and demonstrating separation technologies for actinides and fission products and operates unique national facilities for radioactive materials research, including the Radiochemical Engineering Development Center (REDC).</t>
  </si>
  <si>
    <t>Oak Ridge, Tennessee, USA</t>
  </si>
  <si>
    <t xml:space="preserve">https://www.ornl.gov/group/chemical-separations </t>
  </si>
  <si>
    <t>Chemical separations for radionuclides and isotopes
Radiochemistry and actinide chemistry
Adsorption, ion exchange, solvent extraction, and advanced separation media
Analytical radiochemistry and isotope handling
ORNL is widely regarded as one of the premier separation science institutions globally for radioactive materials.</t>
  </si>
  <si>
    <t>ORNL’s technical approach directly addresses the radioactive challenge in phosphogypsum by applying advanced radiochemical separation methods such as ion exchange, selective sorbents, and solvent extraction to isolate radionuclides like Ra-226 from calcium-rich matrices. Rather than relying on dilution or encapsulation, ORNL’s methods actively partition radioactive species into small, concentrated fractions, enabling the bulk material to meet safety thresholds. ORNL’s radiochemistry-grade analytical validation ensures that separation performance is measurable, defensible, and suitable for regulatory scrutiny.</t>
  </si>
  <si>
    <t>ORNL is relevant to phosphogypsum because it has deep experience separating radioactive material from large amounts of non-radioactive material. This directly matches the challenge in phosphogypsum, where a small amount of radioactivity must be removed so the bulk material can be safely used. ORNL’s strength is making this separation reliable, repeatable, and provable under strict safety and regulatory standards.</t>
  </si>
  <si>
    <t>ORNL operates the Radiochemical Engineering Development Center (REDC), a national facility with hot-cell infrastructure used for real radioactive-material separation, recovery, and purification.
ORNL runs ongoing isotope research and production programs under the DOE Isotope Development and Production Program, supporting medical, industrial, research, and national security needs.
The Radioisotope Science and Technology Division conducts applied R&amp;D on radionuclide processing and separation methods.
ORNL maintains integrated isotope and radiochemistry facilities that support the full lifecycle from irradiation through separation and analysis.
These activities are carried out in coordination with DOE Environmental Management, Nuclear Energy, and national security programs.</t>
  </si>
  <si>
    <t>ORNL has generated significant patented IP in separation media, sorbents, and radiochemical processes.
Technologies are often transitioned to:
DOE cleanup programs
Isotope production systems
Industrial partners via licensing or CRADAs
IP is typically process- and materials-focused, rather than end-product commercialization.</t>
  </si>
  <si>
    <r>
      <t xml:space="preserve">High, but structured: ORNL collaborates through formal mechanisms such as CRADAs, Strategic Partnership Projects (SPP), and DOE-funded programs.
National lab partners: Regular collaboration with other DOE labs, including SRNL, PNNL, and INL.
University partners: Frequent collaboration with research universities such as the </t>
    </r>
    <r>
      <rPr>
        <b/>
        <sz val="12"/>
        <color theme="1"/>
        <rFont val="Calibri"/>
        <family val="2"/>
        <scheme val="minor"/>
      </rPr>
      <t>University of Tennessee (UTK), Georgia Tech, Vanderbilt University, and Penn State,</t>
    </r>
    <r>
      <rPr>
        <sz val="12"/>
        <color theme="1"/>
        <rFont val="Calibri"/>
        <family val="2"/>
        <scheme val="minor"/>
      </rPr>
      <t xml:space="preserve"> particularly in separations, materials, and nuclear science.
Industry partners: Works with industrial partners to transition separation and radiochemical technologies into applied and operational settings.
Engagement requirement: Collaboration is most effective when driven by a well-defined technical problem, especially related to separation performance and validation.</t>
    </r>
  </si>
  <si>
    <t>Low-Medium</t>
  </si>
  <si>
    <t>DOE-aligned scope and formal CRADA/SPP agreements; radioactive material handling approvals and feedstock characterization required; best suited to well-defined separation challenges; higher cost and longer lead times than university labs.</t>
  </si>
  <si>
    <t>Oak Ridge National Laboratory provides world-leading expertise in radiochemistry and chemical separations, enabling selective isolation of radionuclides such as Ra-226 from complex matrices( sets the limits on whether phosphogypsum can be considered safe to use). Its ability to validate and demonstrate separation performance under real radioactive-material conditions makes ORNL a critical partner for ensuring that phosphogypsum decontamination pathways are technically sound, measurable, and defensible.</t>
  </si>
  <si>
    <t>https://www.ornl.gov/file/ised-facility-overview-redc/display
https://www.ornl.gov/research-area/isotope-development-and-production
https://www.energy.gov/science/ip/isotope-rd-and-production-doe-ip
https://www.ornl.gov/division/rst
https://www.ornl.gov/facility/other-facilities</t>
  </si>
  <si>
    <t>Best used for radionuclide separation validation and demonstration, not bulk PG handling.
Directly aligned with the Ra-226 binding constraint in phosphogypsum.
Not a discovery engine for new PG processes, but excellent at making separations work reliably.
High analytical rigor strengthens credibility of “clean fraction” claims.
Engagement requires structured scope and DOE agreements; plan lead time accordingly.
High leverage partner when separation performance is mission-critical.</t>
  </si>
  <si>
    <t>ORNL is primarily funded by the U.S. Department of Energy through the Offices of Science, Environmental Management, Nuclear Energy, and NNSA, with additional project-based funding from other federal agencies, industry partners, and university collaborations.</t>
  </si>
  <si>
    <t>National Renewable Energy Laboratory (NREL)</t>
  </si>
  <si>
    <t>The National Renewable Energy Laboratory (NREL) is the U.S. Department of Energy’s primary national laboratory for renewable energy, industrial decarbonization, advanced materials integration, and techno-economic systems modeling.
While best known for renewable energy research, NREL has developed major capabilities in:
Industrial process decarbonization
Waste-to-value system integration
Techno-economic analysis (TEA)
Life-cycle assessment (LCA)
Carbon capture integration
Advanced materials deployment modeling
Industrial scale-up support
NREL plays a critical role in validating whether new industrial processes are economically viable and scalable at commercial level — which is essential for phosphogypsum (PG) valorization pathways.</t>
  </si>
  <si>
    <t>Headquarters: Golden, Colorado, USA
Additional facilities in Colorado and Washington, D.C.</t>
  </si>
  <si>
    <t>https://www.nrel.gov
DOE National Laboratories Overview:
https://www.energy.gov/national-laboratories</t>
  </si>
  <si>
    <t>Industrial decarbonization
Carbon capture integration
Techno-economic analysis (TEA)
Life-cycle assessment (LCA)
Process integration modeling
Advanced materials deployment systems
Circular economy engineering</t>
  </si>
  <si>
    <t>NREL applies:
Techno-economic modeling of emerging industrial processes
Life-cycle carbon accounting and environmental impact analysis
Process integration optimization for industrial scale-up
Carbon capture and mineralization systems modeling
In a PG context, this translates to:
Economic viability modeling of PG separation pathways
LCA of radionuclide removal vs stabilization scenarios
Carbon-integrated PG valorization modeling
Deployment feasibility assessment for U.S. markets</t>
  </si>
  <si>
    <t>NREL is indirectly but strategically important.
Relevance areas:
✔ Techno-economic validation of REE extraction from PG
✔ Carbon mineralization integration with PG stabilization
✔ Lifecycle emissions assessment
✔ Industrial decarbonization pathways for phosphate processing
✔ Deployment modeling before large capital investment
NREL does not specialize in radiochemistry, but it is critical for:
Moving PG technologies from laboratory science → commercial feasibility.</t>
  </si>
  <si>
    <t>NREL is currently engaged in:
Industrial decarbonization roadmaps
Carbon capture integration modeling
Critical mineral supply chain analysis
Circular materials systems research
Waste-to-value system modeling
DOE-funded industrial transformation initiatives
NREL plays a major role in DOE’s Industrial Efficiency &amp; Decarbonization programs.</t>
  </si>
  <si>
    <t>Proprietary techno-economic modeling frameworks
Life-cycle assessment tools
Industrial systems optimization software
Carbon capture integration modeling
IP is typically licensed through DOE technology transfer mechanisms.
NREL is strongest in modeling, validation, and system integration — not chemical IP ownership.</t>
  </si>
  <si>
    <t>Cooperative Research and Development Agreements (CRADAs)
DOE-funded joint industry partnerships
Industrial cost-share projects
Public-private pilot validation
University partnerships
NREL regularly collaborates with:
National labs
Corporates
Startups
International research institutions</t>
  </si>
  <si>
    <t>Does not perform radiochemical separations directly
Requires PG-specific pilot data for accurate modeling
Dependent on DOE program alignment
Deployment requires industrial partner</t>
  </si>
  <si>
    <t>NREL provides:
Economic feasibility validation before large capital commitment
Carbon impact modeling
LCA validation for sustainability claims
Process integration roadmapping
Federal credibility for industrial decarbonization
For UM6P GHUS NutriCrops, NREL is essential for:
→ Proving that PG elimination pathways are economically viable
→ Demonstrating carbon neutrality or carbon negativity
→ Attracting industrial and federal funding
→ De-risking scale-up investments
NREL bridges science → investable infrastructure.</t>
  </si>
  <si>
    <t>NREL Homepage:
https://www.nrel.gov
DOE National Labs Overview:
https://www.energy.gov/national-laboratories
Industrial Decarbonization Programs:
https://www.nrel.gov/industry/</t>
  </si>
  <si>
    <t>NREL should not be positioned as a radiochemistry partner.
It should be positioned as:
Economic and carbon validation partner for PG transformation technologies.
Ideal collaboration structure:
DOE Lab (ORNL / SRNL / PNNL) → radionuclide science
Colorado School of Mines / Ames → REE extraction
NREL → TEA + LCA + deployment economics
Corporate partner → industrial scale
NREL strengthens funding competitiveness and investor confidence.</t>
  </si>
  <si>
    <t>Potential funding pathways:
DOE Office of Energy Efficiency &amp; Renewable Energy (EERE)
Industrial Decarbonization initiatives
Critical minerals programs
Cost-share federal demonstration projects
CRADA agreements
NREL involvement significantly strengthens eligibility for DOE-backed funding programs.</t>
  </si>
  <si>
    <t>Lawrence Livermore National Laboratory (LLNL)</t>
  </si>
  <si>
    <t>Lawrence Livermore National Laboratory (LLNL) is a premier U.S. Department of Energy (DOE) national laboratory, operated by Lawrence Livermore National Security, LLC. LLNL’s core mission centers on national security, but its scientific capabilities extend deeply into nuclear science, radiochemistry, materials behavior under extreme conditions, environmental modeling, and systems-level risk analysis.
For NutriCrops, LLNL is not a phosphate-processing lab; its value lies in advanced radionuclide science, high-precision measurement, long-term risk modeling, and validation of radioactive-material handling strategies—all of which are central constraints for phosphogypsum (PG) solutions in the U.S.</t>
  </si>
  <si>
    <t>Primary Campus: Livermore, California, USA
Additional Site: Site 300 (experimental test site), California</t>
  </si>
  <si>
    <t>https://www.llnl.gov/</t>
  </si>
  <si>
    <t>Radiochemistry and nuclear materials science
Radionuclide detection, measurement, and modeling
Long-term behavior of radioactive materials in the environment
Materials containment, immobilization, and durability
Environmental fate &amp; transport modeling
Risk assessment for radioactive and hazardous materials
Systems science for high-consequence technologies</t>
  </si>
  <si>
    <t>Advanced radiochemical analysis (trace radionuclide detection)
High-fidelity modeling &amp; simulation of contaminant transport
Materials science for immobilization and containment
System-level risk and uncertainty analysis
Validation under extreme or long-time-horizon conditions
Integration of experimental data with predictive models</t>
  </si>
  <si>
    <t>LLNL is highly relevant to NutriCrops because:
PG contains Ra-226 and uranium-series radionuclides requiring:
Accurate quantification
Long-term risk modeling
Validation of immobilization or removal strategies
LLNL can:
Validate whether radionuclide concentrations and forms truly reduce risk
Model radon generation, migration, and exposure pathways
Assess long-term stability of treated or reused PG materials
 LLNL does not design PG separation processes, but it determines whether proposed solutions are scientifically defensible over regulatory time horizons.</t>
  </si>
  <si>
    <t>DOE leadership in radiological science and nuclear materials stewardship
Research on environmental transport of radionuclides
Development of advanced radiation detection and monitoring tools
Support to federal agencies on high-risk materials decisions
Contributions to national standards and safety frameworks
LLNL expertise frequently informs:
DOE program decisions
EPA and NRC technical evaluations
National security–related environmental risk assessments</t>
  </si>
  <si>
    <t>LLNL generates government-owned IP
IP is typically:
Licensed to industry
Transferred via DOE technology transfer mechanisms
Outputs include:
Methods
Models
Measurement techniques
LLNL is well suited for pre-competitive and validation-focused innovation.</t>
  </si>
  <si>
    <t xml:space="preserve">Open (Within DOE Frameworks)
Collaborates with:
Other DOE national labs
Universities
Federal agencies
Industry (via CRADAs and licensing)
Strong culture of multi-lab programs
</t>
  </si>
  <si>
    <t>Not a deployment partner
Engagement must align with DOE mission scope
Best used for validation, modeling, and assurance—not process optimization
LLNL is most effective when paired with:
ORNL / university separations science
Battelle / EPRI system integration
EPA / ATSDR regulatory and health framing</t>
  </si>
  <si>
    <t>LLNL provides NutriCrops with:
Unmatched credibility in radionuclide science
High-confidence validation of radioactive risk reduction claims
Long-term modeling beyond typical academic timescales
Support for regulator-facing narratives grounded in national-lab science
LLNL helps NutriCrops move from:
“We believe this reduces risk”
to
“This is scientifically validated to reduce risk over time”</t>
  </si>
  <si>
    <t>Lawrence Livermore National Laboratory
https://www.llnl.gov
LLNL – Nuclear &amp; Radiochemistry Programs
https://www.llnl.gov/research
LLNL – Environmental &amp; Risk Modeling
https://www.llnl.gov/science-technology/environment
DOE National Laboratories Overview
https://www.energy.gov/science/doe-national-laboratories</t>
  </si>
  <si>
    <t>LLNL should be positioned as a high-assurance scientific validator within NutriCrops. Its involvement is especially valuable for radioactive-element narratives, where long-term risk, uncertainty, and public trust are decisive.
Engaging LLNL signals that NutriCrops solutions are:
Scientifically rigorous
National-security-grade in analysis
Aligned with U.S. regulatory expectations</t>
  </si>
  <si>
    <t>SLAC National Accelerator Laboratory</t>
  </si>
  <si>
    <t>SLAC National Accelerator Laboratory is a U.S. Department of Energy national laboratory operated by Stanford University. It specializes in advanced photon science, accelerator science, materials characterization, nuclear science, and high-resolution imaging technologies.
SLAC is home to world-leading facilities including:
Stanford Synchrotron Radiation Lightsource (SSRL)
Linac Coherent Light Source (LCLS)
These facilities allow atomic-scale and molecular-scale characterization of materials, including radioactive materials, mineral phases, and chemical bonding environments.
While SLAC does not focus directly on phosphate processing, it plays a critical role in:
Characterizing radionuclide binding mechanisms
Understanding mineral phase transformations
Validating immobilization chemistry
Advanced materials structural analysis
SLAC is a high-credibility scientific validation partner.</t>
  </si>
  <si>
    <t>Menlo Park, California, USA
Operated by Stanford University for the U.S. Department of Energy.</t>
  </si>
  <si>
    <t>https://www.slac.stanford.edu
Stanford Synchrotron Radiation Lightsource (SSRL):
https://ssrl.slac.stanford.edu
Linac Coherent Light Source (LCLS):
https://lcls.slac.stanford.edu
DOE National Labs Overview:
https://www.energy.gov/national-laboratories</t>
  </si>
  <si>
    <t>Synchrotron-based materials characterization
X-ray spectroscopy and imaging
Atomic-scale chemical structure analysis
Radiochemical bonding studies
Advanced mineral phase transformation analysis
Accelerator-based materials science</t>
  </si>
  <si>
    <t>SLAC applies:
High-resolution synchrotron X-ray spectroscopy
Atomic-scale imaging of mineral and radionuclide interactions
Real-time phase transformation analysis
Advanced structural characterization of complex materials
In a PG context, this translates to:
Determining how radium, uranium, and thorium bind within PG matrices
Validating chemical immobilization mechanisms
Confirming stability of stabilized “hot fractions”
Identifying new mineral phases formed during treatment processes</t>
  </si>
  <si>
    <t>SLAC is highly relevant for:
✔ Radionuclide bonding analysis
✔ Immobilization mechanism validation
✔ Mineral structure verification
✔ Stability testing at atomic level
✔ Proving long-term immobilization claims
SLAC does NOT perform large-scale separation or industrial processing.
It is strongest in:
Scientific validation of stabilization chemistry.</t>
  </si>
  <si>
    <t>SLAC is actively engaged in:
Nuclear materials characterization
Heavy metal binding studies
Environmental geochemistry analysis
Energy materials research
Advanced spectroscopy of complex mineral systems
SSRL and LCLS are used globally for:
Studying actinides
Radiochemistry
Waste form stability
Mineral transformations
SLAC regularly collaborates with DOE labs, universities, and industry on materials validation.</t>
  </si>
  <si>
    <t>Proprietary accelerator and synchrotron instrumentation
Advanced spectroscopy methods
High-resolution structural analysis tools
SLAC’s strength lies in facility access and analytical capability rather than commercial process IP.
Data generated at SLAC can support patent filings for stabilization chemistry developed by UM6P or partners.</t>
  </si>
  <si>
    <t>User facility access (proposal-based beamtime)
DOE-funded research collaborations
University partnerships
Industry-sponsored research programs
Multi-lab scientific collaborations
SLAC is highly collaborative but operates under federal user proposal systems.</t>
  </si>
  <si>
    <t xml:space="preserve">Low </t>
  </si>
  <si>
    <t>Access requires proposal approval and beamtime scheduling
Not an industrial partner
Requires external chemical stabilization processes to test
Not a scale-up or deployment actor</t>
  </si>
  <si>
    <t>SLAC provides:
Atomic-level validation of radium immobilization
Proof that “hot fraction” stabilization is chemically durable
Data supporting regulatory approval
High scientific credibility
Publication-grade evidence for funding competitiveness
For UM6P GHUS NutriCrops, SLAC is essential for:
→ Demonstrating that radioactive elements are truly immobilized
→ Supporting EPA/NRC approval cases
→ Producing high-impact scientific publications
→ Strengthening DOE funding proposals
SLAC increases scientific legitimacy.</t>
  </si>
  <si>
    <t>SLAC Homepage:
https://www.slac.stanford.edu
SSRL Facility:
https://ssrl.slac.stanford.edu
LCLS Facility:
https://lcls.slac.stanford.edu
DOE National Labs Overview:
https://www.energy.gov/national-laboratories</t>
  </si>
  <si>
    <t>SLAC should be positioned as:
Advanced Materials Validation Partner
Ideal ecosystem structure:
ORNL / SRNL → Radionuclide chemistry
Colorado School of Mines → Mineral processing
SLAC → Atomic-scale validation
NREL → Economic validation
Corporate partner → Scale-up
SLAC is critical if UM6P wants nuclear-grade scientific credibility.</t>
  </si>
  <si>
    <t>Potential funding pathways:
DOE user facility research proposals
Joint DOE-lab collaborations
Industry-sponsored beamtime research
Federal cost-share projects
Academic-industry collaborative research grants
SLAC participation strengthens competitiveness for DOE nuclear and critical mineral funding calls.</t>
  </si>
  <si>
    <t>Fermi National Accelerator Laboratory (Fermilab)</t>
  </si>
  <si>
    <t>Fermi National Accelerator Laboratory (Fermilab) is a U.S. Department of Energy national laboratory specializing in particle physics, accelerator science, advanced instrumentation, radiation detection systems, and high-energy materials research.
Operated by the Fermi Research Alliance for DOE, Fermilab is globally recognized for:
Advanced radiation detection technologies
Particle accelerator systems
Nuclear measurement instrumentation
High-precision materials diagnostics
Detector engineering and calibration systems
Although Fermilab does not directly perform mineral processing or phosphogypsum treatment, it plays a strategic role in:
Radiation detection
Radionuclide measurement precision
Instrumentation development
Nuclear-grade monitoring system design
This makes Fermilab relevant to PG radioactive element monitoring and validation infrastructure.</t>
  </si>
  <si>
    <t>Batavia, Illinois, USA
Part of the U.S. DOE National Laboratory System.</t>
  </si>
  <si>
    <t>https://www.fnal.gov
DOE National Laboratories Overview:
https://www.energy.gov/national-laboratories</t>
  </si>
  <si>
    <t>Radiation detection technologies
Nuclear measurement instrumentation
Accelerator science
High-precision detector systems
Materials under radiation environments
Advanced sensor calibration systems</t>
  </si>
  <si>
    <t>Fermilab applies:
High-sensitivity radiation detection systems
Advanced nuclear instrumentation and sensor development
Precision calibration and measurement validation
Radiation transport and shielding modeling
In a PG context, this translates to:
Designing detection systems for radium and uranium measurement
Monitoring PG stack radiation profiles
Validating reduction of radioactive elements after treatment
Developing field-deployable radiation monitoring systems</t>
  </si>
  <si>
    <t>Fermilab is indirectly relevant but strategically important in:
✔ Radiation detection and measurement accuracy
✔ Monitoring radioactive element reduction
✔ Instrumentation for compliance verification
✔ Shielding and exposure modeling
✔ Long-term environmental radiation monitoring systems
Fermilab does NOT perform:
Chemical separations
Immobilization chemistry
Mineral processing
Its value lies in measurement, detection, and monitoring systems.</t>
  </si>
  <si>
    <t>Fermilab is actively engaged in:
Particle accelerator research
Radiation detector development
High-precision instrumentation engineering
Nuclear measurement calibration
National radiation monitoring collaborations
Fermilab contributes to:
Advanced detector systems used globally
Nuclear physics instrumentation
Radiation shielding and modeling research</t>
  </si>
  <si>
    <t>Proprietary radiation detection instrumentation
Advanced particle detector technologies
Radiation shielding and measurement calibration systems
Accelerator-based materials testing tools
Most technologies are instrumentation-based and often developed through DOE-funded programs.</t>
  </si>
  <si>
    <t>DOE-funded research collaborations
Instrumentation development partnerships
University research partnerships
Public-private nuclear measurement projects
National radiation monitoring initiatives
Fermilab collaborates primarily in research and instrumentation contexts.</t>
  </si>
  <si>
    <t>Does not provide chemical treatment solutions
Requires external stabilization or separation technology to monitor
Primarily a research and instrumentation actor
Access may require DOE alignment</t>
  </si>
  <si>
    <t>Fermilab provides:
High-precision radiation measurement systems
Monitoring system design for PG stacks
Data credibility for EPA/NRC engagement
Calibration and validation infrastructure
Support for compliance verification
For UM6P GHUS NutriCrops, Fermilab strengthens:
→ Measurement credibility
→ Regulatory acceptance
→ Monitoring system design
→ Long-term radiation surveillance frameworks
Fermilab ensures that radioactive elimination claims are scientifically verifiable.</t>
  </si>
  <si>
    <t>Fermilab Homepage:
https://www.fnal.gov
DOE National Labs Overview:
https://www.energy.gov/national-laboratories</t>
  </si>
  <si>
    <t>Fermilab should not be positioned as a PG treatment partner.
It should be positioned as:
Radiation Detection and Monitoring Infrastructure Partner
Ideal ecosystem placement:
ORNL / SRNL → Radionuclide chemistry
SLAC → Atomic-scale validation
Fermilab → Radiation measurement &amp; monitoring
NREL → Economic modeling
Corporate → Industrial scale-up
Fermilab adds credibility in the “prove it” phase.</t>
  </si>
  <si>
    <t>Potential funding mechanisms:
DOE instrumentation grants
Cooperative research agreements
Federal radiation monitoring initiatives
Joint lab collaborations
Public-private compliance infrastructure projects
Fermilab involvement strengthens regulatory-grade monitoring capacity for PG remediation programs.</t>
  </si>
  <si>
    <t>Thomas Jefferson National Accelerator Facility (Jefferson Lab)</t>
  </si>
  <si>
    <t>Thomas Jefferson National Accelerator Facility (Jefferson Lab or JLab) is a U.S. Department of Energy national laboratory located in Newport News, Virginia. It specializes in nuclear physics, accelerator science, radiation detection systems, advanced instrumentation, and high-precision materials characterization.
Jefferson Lab operates:
Continuous Electron Beam Accelerator Facility (CEBAF)
Advanced nuclear detector development programs
Radiation measurement and shielding research
Materials under radiation environment studies
Although primarily focused on fundamental nuclear science, Jefferson Lab possesses expertise in:
Radiation transport modeling
Detector engineering
Nuclear instrumentation calibration
Radiation-material interaction studies
These capabilities are relevant for monitoring and validating radioactive element mitigation in phosphogypsum systems.</t>
  </si>
  <si>
    <t>Newport News, Virginia, USA
Operated by Jefferson Science Associates for the U.S. Department of Energy.</t>
  </si>
  <si>
    <t>https://www.jlab.org
DOE National Laboratories Overview:
https://www.energy.gov/national-laboratories</t>
  </si>
  <si>
    <t>Nuclear physics and radiation science
Accelerator-based materials research
Radiation detection and instrumentation
Shielding and radiation transport modeling
High-precision nuclear measurement systems</t>
  </si>
  <si>
    <t>Jefferson Lab applies:
Advanced nuclear instrumentation and detector systems
Radiation transport and shielding modeling
High-precision nuclear measurement calibration
Accelerator-based materials interaction studies
In a PG context, this translates to:
Modeling radiation transport in PG stacks
Designing detection and monitoring systems
Validating radium and uranium measurement accuracy
Assessing shielding effectiveness of stabilized materials</t>
  </si>
  <si>
    <t>Jefferson Lab is indirectly relevant and valuable for:
✔ Radiation transport modeling
✔ Shielding design validation
✔ Nuclear-grade measurement calibration
✔ Detector system engineering
✔ Compliance-support measurement frameworks
Jefferson Lab does NOT perform:
Radiochemical separation
Mineral processing
Industrial-scale stabilization
Its value lies in:
Radiation modeling, detection, and instrumentation validation.</t>
  </si>
  <si>
    <t>Jefferson Lab is currently engaged in:
Nuclear physics research
Detector development for radiation measurement
Accelerator-based material studies
Radiation shielding research
Nuclear instrumentation engineering
The laboratory collaborates with:
DOE national labs
Universities
Federal agencies
Industrial instrumentation developers</t>
  </si>
  <si>
    <t>Proprietary detector technologies
Advanced radiation measurement systems
Accelerator-based materials testing platforms
Radiation modeling frameworks
Technology output is often instrumentation-focused and developed under DOE funding structures.</t>
  </si>
  <si>
    <t>DOE-funded collaborations
Instrumentation research partnerships
Academic and federal research agreements
Multi-lab national nuclear science initiatives
Engagement typically structured through:
DOE research programs
User facility access
Cooperative research agreements</t>
  </si>
  <si>
    <t>No direct chemical or stabilization expertise
Requires external PG treatment technologies to monitor
Primarily focused on fundamental nuclear science
Access dependent on DOE alignment</t>
  </si>
  <si>
    <t>Jefferson Lab provides:
Radiation transport modeling expertise
Nuclear-grade measurement validation
Shielding effectiveness assessment
Regulatory-grade monitoring credibility
Support for long-term radiation surveillance design
For UM6P GHUS NutriCrops, Jefferson Lab strengthens:
→ Scientific credibility of radiation reduction claims
→ Measurement precision
→ Regulatory defensibility
→ Long-term safety validation
It complements SLAC and Fermilab in the “prove and monitor” phase.</t>
  </si>
  <si>
    <t>Jefferson Lab Homepage:
https://www.jlab.org
DOE National Labs Overview:
https://www.energy.gov/national-laboratories</t>
  </si>
  <si>
    <t>Jefferson Lab should be positioned as:
Radiation Modeling and Detection Validation Partner
Ideal ecosystem placement:
ORNL / SRNL → Radiochemical separation
SLAC → Atomic-scale immobilization validation
Fermilab → Detection systems
Jefferson Lab → Radiation transport &amp; shielding modeling
NREL → Economic validation
Corporate partner → Industrial deployment
Jefferson Lab enhances safety and regulatory credibility but is not a primary PG processing partner.</t>
  </si>
  <si>
    <t>Potential funding mechanisms:
DOE nuclear physics programs
Cooperative research agreements
Instrumentation grants
Multi-lab DOE collaborations
Federal monitoring and radiation safety initiatives
Participation would likely occur under DOE-aligned collaborative research frameworks.</t>
  </si>
  <si>
    <t>University Labs</t>
  </si>
  <si>
    <t>Columbia University</t>
  </si>
  <si>
    <t>Columbia University is a global leader in environmental systems science, earth and geochemical processes, sustainability policy, and international development–oriented research. Through the Earth Institute, Columbia Climate School, and Lamont-Doherty Earth Observatory, Columbia specializes in translating complex scientific and technical challenges into policy-relevant, globally deployable solutions.
For Nutri-Crops, Columbia is not a radiochemistry or separations hub; it is a systems-level validation, policy translation, and global deployment credibility partner, particularly well aligned with UM6P GHUS’s Africa- and Global South–oriented mission.</t>
  </si>
  <si>
    <t>New York City, New York, USA</t>
  </si>
  <si>
    <t>https://www.columbia.edu/</t>
  </si>
  <si>
    <t>Environmental and earth systems science
Environmental geochemistry and contaminant fate
Sustainability and circular-economy systems
Climate, water, and soil systems
Policy-relevant science and regulatory translation
Global deployment and development pathways</t>
  </si>
  <si>
    <t>Columbia contributes through systems- and policy-integrated methodologies, including:
Environmental systems modeling
Soil–water–contaminant interactions
Long-term fate and transport of trace elements
Environmental geochemistry
Behavior of metals and radionuclide analogs in natural systems
Interaction of industrial residues with soils and waters
Policy-grade impact assessment
Linking technical performance to regulatory and governance frameworks
Global deployment frameworks
Designing solutions for low- and middle-income country contexts
Integrating science with development and sustainability goals</t>
  </si>
  <si>
    <t>Columbia is relevant to phosphogypsum because PG challenges are not only technical but institutional, regulatory, and geopolitical, especially when deployment is envisioned in Africa or the Global South.
Columbia supports Nutri-Crops by:
Assessing environmental and societal implications of PG reuse
Translating PG science into policy-ready narratives
Framing PG pathways within circular economy and sustainability agendas
Supporting international acceptance and scaling</t>
  </si>
  <si>
    <t>Long-standing research on:
Environmental contamination and remediation
Industrial residues and earth systems
Climate–soil–water interactions
Active engagement with:
Governments
Multilateral institutions
NGOs and development organizations
Columbia Climate School and Earth Institute explicitly focus on science-to-policy translation at global scale</t>
  </si>
  <si>
    <t>Outputs are primarily:
Systems models
Policy frameworks
Environmental impact methodologies
IP is non-process, generally open or policy-oriented
High value for:
Regulatory positioning
Stakeholder engagement
International scaling strategies</t>
  </si>
  <si>
    <t>Columbia operates through:
Multi-university research initiatives
University–government–NGO partnerships
Global consortia addressing sustainability and development
Strong collaboration culture across science, policy, and implementation</t>
  </si>
  <si>
    <t>Depends on:
Upstream chemistry and processing partners (ORNL, UC Berkeley, Texas A&amp;M)
Defined PG use cases and deployment geographies
Does not conduct radiochemical processing or agronomic field trials</t>
  </si>
  <si>
    <t>Columbia University is valuable because it:
Translates Nutri-Crops science into policy-credible, globally relevant narratives
Strengthens international legitimacy, especially for Africa-focused deployment
Helps align PG solutions with sustainability, climate, and development agendas
Reduces risk of technical success without institutional adoption
Columbia is particularly aligned with UM6P GHUS’s role as a global systems integrator, not just a technical partner.</t>
  </si>
  <si>
    <t>Columbia University: https://www.columbia.edu
Columbia Climate School: https://climate.columbia.edu
Earth Institute: https://earth.columbia.edu
Lamont-Doherty Earth Observatory: https://www.ldeo.columbia.edu
Department of Earth &amp; Environmental Engineering: https://eee.columbia.edu</t>
  </si>
  <si>
    <t>Columbia should be positioned as a policy, systems, and global deployment hub, engaged after technical feasibility is established and before or during international scaling. Its strength lies in bridging science, governance, and development, making it especially valuable for UM6P GHUS and Africa-oriented Nutri-Crops pathways.</t>
  </si>
  <si>
    <t>U.S. Federal research funding (NSF, DOE, NASA, NOAA)
International and multilateral funding (climate, sustainability, development programs)
Foundation funding (environment, climate, global development)
Policy- and systems-oriented sponsored research
(Columbia consistently ranks among top U.S. universities for environmental and climate-related research funding.)</t>
  </si>
  <si>
    <t>Duke University</t>
  </si>
  <si>
    <t xml:space="preserve">Duke University is a major private research university in Durham, North Carolina with world-class interdisciplinary research across environmental science, geochemistry, engineering, and nuclear sciences. Within Duke, several laboratories and research units focus on occurrence, behavior, measurement, and impacts of radionuclides in the environment, including naturally occurring radioactive materials (NORM) and technologically enhanced NORM (TENORM) such as those found in phosphogypsum.
</t>
  </si>
  <si>
    <t>Durham, North Carolina, USA</t>
  </si>
  <si>
    <t>Duke University - Fueled by creativity, informed by scholarship</t>
  </si>
  <si>
    <t>Environmental chemistry of trace elements
Heavy metal and radionuclide fate (non-nuclear handling)
Soil and water chemistry
Nutrient cycling and fertilizer impacts
Materials–environment interactions
Life-cycle assessment (LCA)
Environmental risk and regulatory science</t>
  </si>
  <si>
    <t>Best-fit Duke capabilities for NutriCrops include:
Applied environmental analytical chemistry (methods + measurement workflows for contaminants and trace constituents) via groups like the Ferguson Lab (analytical tools; high-resolution mass spectrometry for contaminants in water/wastewater)
Exposure science / monitoring of organic + inorganic contaminants via the Duke Center for Environmental Exposomics (DCEE) (explicitly supports monitoring and measuring contaminants, including metals)
Systems-level environmental risk assessment frameworks through CEINT (transport/transformation/fate + ecological impacts)
Remediation/process-oriented environmental engineering (air/water/sediment/soil remediation processes; resource recovery / sanitation tech) via Pratt labs (e.g., Deshusses Lab)</t>
  </si>
  <si>
    <t>High relevance for downstream validation: Duke can help answer “Is it safe and deployable?” by assessing contaminant fate, exposure pathways, bioavailability, and environmental performance of PG-derived products in soil/water contexts.
Lower relevance for upstream separations: Duke is not the primary node for radiochemistry/actinide separations (that’s ORNL/UTK/FSU), but is strong for environmental acceptance, monitoring design, and evidence packages.</t>
  </si>
  <si>
    <t>CEINT (Duke-headquartered) is an established, multi-institution center studying transport/transformation/fate and ecological effects of complex materials in the environment; Duke is the headquarters.
CEINT founding award size publicly stated: $14.4M (NSF + EPA) to create CEINT (2008 announcement).
Duke Center for Environmental Exposomics (DCEE) established to provide analytical services for monitoring contaminants (including metals) across environmental samples/tissues (useful for PG monitoring &amp; field validation packages).</t>
  </si>
  <si>
    <t>Duke typically produces publishable methods, measurement workflows, and validation protocols; IP (when applicable) is usually managed through Duke’s tech transfer pathways (case-by-case).
For NutriCrops, Duke’s highest value is often independent validation + monitoring/measurement methods, which can be packaged for regulator and stakeholder acceptance (not “core process IP”).</t>
  </si>
  <si>
    <t>High — Duke operates through explicit multi-institution and multi-sector collaboration platforms, including the Center for the Environmental Implications of NanoTechnology (CEINT) (Duke-led NSF–EPA center with Carnegie Mellon, Virginia Tech, Stanford, University of Kentucky, and EPA collaborators), the Duke Center for Environmental Exposomics (DCEE) (shared analytical infrastructure serving external partners), and applied interfaces such as the Nicholas Institute for Energy, Environment &amp; Sustainability and Duke Energy Initiative, all of which are designed for co-development, shared governance, and regulator-facing science.</t>
  </si>
  <si>
    <t>Requires representative PG-derived materials/streams (from pilot partners) and clear target endpoints (e.g., “radionuclide residuals below X,” “soil uptake limits,” “leaching behavior,” etc.).
If radionuclide handling at higher activity levels is required, work may need to be structured with appropriate partners/facilities (often handled upstream at ORNL/UTK).</t>
  </si>
  <si>
    <t>Provides credible, science-based environmental validation needed to move from “lab success” to real-world adoption of PG-derived nutrient products and byproduct pathways.
Helps build regulator- and stakeholder-ready deliverables: monitoring plans, exposure assessments, fate/transport evidence, and field verification packages.</t>
  </si>
  <si>
    <t>High analytical rigor strengthens credibility of “clean fraction” claims. Duke is best positioned as the “credibility + validation node” in a NutriCrops consortium:
ORNL/UTK/FSU: radiochemistry + separations + compliance-grade handling
Dow/3M: industrial scale-up
Duke: environmental acceptance, monitoring, exposure pathways, and field validation protocols</t>
  </si>
  <si>
    <t>CEINT founding award: $14.4M from NSF + EPA (establishing a major multi-institution environmental implications center headquartered at Duke).</t>
  </si>
  <si>
    <t>University of California, Berkeley</t>
  </si>
  <si>
    <t>The University of California, Berkeley (UC Berkeley) is one of the world’s leading institutions in actinide chemistry, lanthanide chemistry, nuclear science, and separation thermodynamics, with a decades-long, deeply embedded relationship with the U.S. DOE national laboratory system, including Oak Ridge National Laboratory (ORNL) and Lawrence Berkeley National Laboratory (LBNL).
For NutriCrops, Berkeley provides first-principles chemical truth: molecular-level understanding of U/Th/Ra/REE behavior, speciation, binding, and selectivity that underpins credible phosphogypsum separation pathways.</t>
  </si>
  <si>
    <t>https://www.berkeley.edu/</t>
  </si>
  <si>
    <t>Actinide and lanthanide chemistry
f-element coordination chemistry
Separation thermodynamics and speciation
Nuclear fuel cycle chemistry (non-reactor)
Environmental geochemistry of radionuclides and REEs</t>
  </si>
  <si>
    <t>UC Berkeley contributes through fundamental, mechanism-level science, including:
Actinide/lanthanide speciation studies
Oxidation states, aqueous complexation
Ligand selectivity and binding constants
Separation chemistry fundamentals
Solvent extraction chemistry (molecular design logic)
Chelation and selective ligands
Advanced spectroscopy &amp; modeling
Synchrotron-based methods (via LBNL)
Quantum chemistry and thermodynamic modeling
Geochemical behavior
Mobility of U/Th/REEs in mineral and waste matrices (relevant to PG)</t>
  </si>
  <si>
    <t>ery High (Foundational / Upstream). UC Berkeley provides the molecular- and thermodynamic-level understanding of radionuclide and REE behavior in sulfate- and phosphate-rich matrices that underpins credible phosphogypsum remediation, radionuclide removal, and REE recovery strategies. Berkeley de-risks NutriCrops by validating chemical selectivity, speciation stability, and failure modes before pilot-scale radiochemical processing at ORNL or industrial scale-up.</t>
  </si>
  <si>
    <t>Long-standing DOE Office of Science (Basic Energy Sciences) funding in:
Actinide chemistry
Separation chemistry
Continuous collaboration with:
ORNL (chemical sciences, separations)
LBNL (shared appointments, joint facilities)
Faculty routinely publish in JACS, Inorganic Chemistry, Environmental Science &amp; Technology, and DOE-sponsored reports relevant to nuclear and f-element chemistry.</t>
  </si>
  <si>
    <t>erkeley primarily generates:
Foundational chemical IP
Ligand concepts, separation principles, and models
IP is typically early-stage (pre-process) and flows downstream to:
National labs (ORNL)
Industrial partners (via DOE programs)
For NutriCrops, Berkeley IP is enabling, not deployable on its own.</t>
  </si>
  <si>
    <t>High (DOE-embedded, multi-institutional by design)
Explicit collaboration mechanisms include:
Joint DOE projects with ORNL and LBNL
Cross-appointments and shared facilities with LBNL
Participation in national laboratory–led consortia
Berkeley is accustomed to distributed research models, not siloed PI work.</t>
  </si>
  <si>
    <t>Requires downstream partners for:
Radiological handling at scale
Pilot separations
Regulatory-compliant processing
Not suited to applied field testing or agricultural deployment</t>
  </si>
  <si>
    <t>UC Berkeley ensures that NutriCrops:
Is built on chemically correct foundations
Avoids false positives in PG separation concepts
Can credibly claim selective, science-based radionuclide and REE removal
This dramatically reduces technical and regulatory risk later.</t>
  </si>
  <si>
    <t>UC Berkeley (main): https://www.berkeley.edu
College of Chemistry: https://chemistry.berkeley.edu
Nuclear Engineering: https://nuc.berkeley.edu
Earth &amp; Environmental Geochemistry: https://eps.berkeley.edu
DOE Basic Energy Sciences (program context): https://science.osti.gov/bes</t>
  </si>
  <si>
    <t>UC Berkeley should be positioned as a foundational chemistry validator, not a pilot partner.
Best used early to screen separation concepts before investing in ORNL or industrial pilots.
Ideal pairing:
UC Berkeley → chemistry truth
ORNL / UTK → radiochemical execution
Dow / 3M → industrialization
Duke / UC Davis → environmental &amp; ag validation</t>
  </si>
  <si>
    <t>Continuous DOE Office of Science (BES) funding for actinide and separation chemistry
Multi-million-dollar cumulative awards over decades via:
UC Berkeley faculty grants
Joint Berkeley–LBNL appointments
(Exact annual figures vary by PI; Berkeley is a top BES recipient nationally)</t>
  </si>
  <si>
    <t>MIT-Department of Nuclear Science &amp; Engineering</t>
  </si>
  <si>
    <t>MIT’s Department of Nuclear Science and Engineering (NSE) is one of the world’s leading academic centers for radiation science, nuclear materials, radionuclide behavior, dose modeling, and nuclear systems analysis. Unlike chemistry-centric partners (e.g., UC Berkeley) or execution-focused national labs (e.g., ORNL), MIT NSE specializes in radiological risk quantification, long-term systems modeling, monitoring technologies, and regulatory-facing nuclear science.
For NutriCrops, MIT NSE provides the safety, credibility, and permission-to-operate layer needed to move phosphogypsum (PG) solutions from technically viable to regulator- and society-acceptable.</t>
  </si>
  <si>
    <t>Cambridge, Massachusetts, USA</t>
  </si>
  <si>
    <t>https://nse.mit.edu/</t>
  </si>
  <si>
    <t>Radiation science and engineering
Radiological dose assessment and exposure pathways
Radionuclide transport and long-term behavior
Nuclear materials and waste systems
Nuclear regulatory science and policy
Monitoring, sensing, and verification systems</t>
  </si>
  <si>
    <t>MIT NSE contributes through system-level, quantitative, and regulatory-grade methods, including:
Radiological characterization
Gamma spectroscopy
Dose rate measurement
Activity quantification
Dose and exposure pathway modeling
Human and environmental exposure scenarios
Long-term decay chain analysis (Ra-226, progeny)
Radionuclide transport modeling
Migration in soils, construction materials, and environmental systems
Nuclear materials &amp; waste systems analysis
Comparative evaluation of remediation vs reuse vs containment
Monitoring &amp; verification technologies
Radiation sensors
Continuous monitoring system design</t>
  </si>
  <si>
    <t>MIT’s Department of Nuclear Science and Engineering provides critical expertise in radiological characterization, dose modeling, long-term radionuclide behavior, monitoring systems, and regulatory science, enabling phosphogypsum remediation and reuse pathways to be framed, evaluated, and defended as safe, compliant, and credible at scale. MIT NSE de-risks NutriCrops by addressing regulatory acceptance, risk perception, and verification, which are often the limiting factors for PG deployment after technical success.</t>
  </si>
  <si>
    <t>Long-standing research in:
Nuclear waste management
Radionuclide transport and safety assessment
Radiation detection and monitoring
Continuous engagement with:
U.S. Department of Energy (DOE)
Nuclear Regulatory Commission (NRC)
International nuclear agencies
Faculty contributions to national and international nuclear safety and policy frameworks</t>
  </si>
  <si>
    <t>MIT NSE primarily generates:
Models
Assessment frameworks
Monitoring system designs
IP is typically methods- and systems-based, not proprietary process chemistry
High value for:
Safety cases
Regulatory submissions
International transferability</t>
  </si>
  <si>
    <t>MIT NSE has a sustained history of multi-university collaboration through DOE-funded consortia (e.g., with UC Berkeley, University of Michigan, Wisconsin–Madison, Texas A&amp;M, Penn State, and NC State), operates routinely in university–national lab–university structures (MIT–ORNL–UTK; MIT–LBNL–UC Berkeley), and maintains international academic partnerships with institutions such as the University of Cambridge, ETH Zurich, and Université Paris-Saclay on nuclear safety and waste systems. These engagements reflect an established culture of shared governance, distributed research execution, and regulator-facing science, rather than closed, single-lab work.</t>
  </si>
  <si>
    <t>Dependent on upstream radiochemical separations partners (e.g., ORNL/UTK, UC Berkeley, FSU) for validated PG processing concepts; limited capability for bulk radioactive material handling; highest value realized only once use cases and regulatory endpoints are clearly defined; requires alignment with established nuclear regulatory frameworks; not suited for agronomic field testing; typically engages through well-structured, programmatic consortia rather than exploratory chemistry.</t>
  </si>
  <si>
    <t>MIT’s Department of Nuclear Science and Engineering provides the radiological safety, systems modeling, regulatory translation, and monitoring expertise required to transform phosphogypsum solutions from technically feasible concepts into credible, regulator-ready, and socially acceptable deployments. MIT NSE reduces the risk that NutriCrops succeeds in the lab but fails at the regulatory or public-acceptance stage, making it a critical “permission-to-operate” partner within the NutriCrops ecosystem.</t>
  </si>
  <si>
    <t xml:space="preserve">https://nse.mit.edu  
 MIT NSE Research Areas https://nse.mit.edu/research
MIT Radiation Science https://nse.mit.edu/research/radiation-science
MIT Nuclear Fuel Cycle &amp; Waste Management Group https://web.mit.edu/nfc
MIT Energy Initiative – Nuclear Energy https://energy.mit.edu/topic/nuclear-energy/
DOE Nuclear Energy University Program https://www.energy.gov/ne/services/funding-opportunities/nuclear-energy-university-program-neup
</t>
  </si>
  <si>
    <t>Engagement requires structured scope and DOE agreements; plan lead time accordingly. Position MIT NSE as the safety, regulatory, and systems-credibility anchor for NutriCrops. Most valuable after separation chemistry is defined and before deployment, where it reduces risk by delivering dose modeling, long-term safety analysis, monitoring frameworks, and regulator-ready safety cases. Complements ORNL and UC Berkeley by addressing permission-to-operate and public/regulatory acceptance, not chemistry or processing.</t>
  </si>
  <si>
    <t>Primarily funded by the U.S. Department of Energy (Office of Nuclear Energy and Office of Science) through NEUP and DOE research grants; additional support from the U.S. Nuclear Regulatory Commission (NRC) for radiation protection and regulatory science; selective funding from DoD agencies (e.g., DTRA, ONR) for radiation detection and monitoring; internal and industry-linked support via the MIT Energy Initiative; and targeted industry-sponsored research and international programs for applied nuclear systems and policy studies.</t>
  </si>
  <si>
    <t>University of Tennessee</t>
  </si>
  <si>
    <t xml:space="preserve">The University of Tennessee, Knoxville (UTK) is a flagship public land-grant research university with deep expertise in nuclear engineering, radiological engineering, environmental systems, and materials science. UTK is uniquely positioned within the U.S. nuclear and radiological research ecosystem due to its formal and long-standing integration with Oak Ridge National Laboratory (ORNL) through UT-Battelle. This relationship gives UTK faculty and graduate students privileged access to world-class nuclear science infrastructure, making UTK a strong academic partner for research involving radioactive materials, TENORM, and complex waste streams such as phosphogypsum.
</t>
  </si>
  <si>
    <t>Knoxville, TN, USA</t>
  </si>
  <si>
    <t xml:space="preserve">University of Tennessee, Knoxville: https://www.utk.edu/
Department of Nuclear Engineering (Tickle College of Engineering): https://ne.utk.edu/
UT–Oak Ridge Innovation Institute: https://utorei.utk.edu/
</t>
  </si>
  <si>
    <t xml:space="preserve">Nuclear engineering and radiological engineering
Radiation detection, measurement, and health physics
Radioactive materials handling and safety
Nuclear materials science
Environmental fate and transport of contaminants
</t>
  </si>
  <si>
    <t xml:space="preserve">Nuclear &amp; Radiological Engineering
Education and research in radiation physics, nuclear chemistry, and health physics
Expertise in radiation detection systems, gamma spectroscopy, neutron interactions, and shielding
Strong grounding in regulatory frameworks and radiation safety, essential for TENORM-related research
B. Nuclear Materials &amp; Waste Science
Research on materials behavior under radiation
Understanding of waste forms, stabilization, and containment, relevant for radium-bearing residues from phosphogypsum processing
C. ORNL-Enabled Capabilities
UTK faculty and students frequently collaborate with ORNL scientists
ORNL provides advanced facilities for materials characterization, isotope science, and radiological analysis, which significantly expands UTK’s applied research potential
</t>
  </si>
  <si>
    <t xml:space="preserve">UTK does not currently appear as a leading publisher specifically on phosphogypsum radionuclides, but it is highly relevant because:
Phosphogypsum is classified as TENORM, and UTK has strong expertise in radiological engineering and radioactive waste systems
UTK can support:
Radiological characterization of phosphogypsum and treated materials
Safety analysis and dose modeling for handling, reuse, or disposal scenarios
Engineering assessment of radionuclide containment or separation strategies
The UTK–ORNL axis creates a pathway from academic research → national lab validation, which is rare among universities
</t>
  </si>
  <si>
    <t xml:space="preserve">One of the longest-running nuclear engineering programs in the U.S.
Active graduate programs (MS/PhD) in nuclear engineering with radiological engineering tracks
UT-Battelle governance structure directly links UTK with ORNL research priorities
ORNL remains one of the world’s premier centers for nuclear materials, isotope science, and environmental radiochemistry, indirectly strengthening UTK’s capabilities
</t>
  </si>
  <si>
    <t xml:space="preserve">UTK primarily generates academic and pre-competitive IP (methods, models, experimental insights)
Potential for joint UTK–ORNL IP under sponsored research agreements
UTK alone is not a commercialization engine for phosphogypsum remediation, but it can underpin applied IP with rigorous science
</t>
  </si>
  <si>
    <t xml:space="preserve">Academic research partner
Well-suited for:
Joint research projects
Graduate student involvement
Sponsored research agreements
Scientific advisory roles on radiation and safety
Strong alignment with government- and lab-linked research programs
</t>
  </si>
  <si>
    <t xml:space="preserve">Research is primarily engineering and radiation-focused, not fertilizer-specific
Any phosphogypsum work would require explicit project framing and funding
Handling TENORM materials requires institutional radiation safety approvals
Translation to deployment depends on industrial and waste-services partners
</t>
  </si>
  <si>
    <t xml:space="preserve">Credible radiological engineering expertise that regulators and industry trust
Access to national-lab-grade infrastructure via ORNL
Strong capability to support radiation measurement, safety analysis, and waste engineering, which are essential complements to chemical or materials-based radionuclide removal strategies
</t>
  </si>
  <si>
    <t xml:space="preserve">University of Tennessee, Knoxville | https://www.utk.edu/
UT Department of Nuclear Engineering | https://ne.utk.edu/
UT Nuclear Engineering Graduate Program | https://ne.utk.edu/graduate-program/overview/
UT–Oak Ridge Innovation Institute | https://utorei.utk.edu/
Oak Ridge National Laboratory | https://www.ornl.gov/
EPA Phosphogypsum Overview | https://www.epa.gov/radiation/phosphogypsum
EPA TENORM Definition | https://www.epa.gov/radiation/technologically-enhanced-naturally-occurring-radioactive-materials-tenorm
</t>
  </si>
  <si>
    <t xml:space="preserve">High leverage partner when separation performance is mission-critical. UTK is best positioned as a radiological authority and engineering validation partner rather than a discovery leader in phosphogypsum chemistry. When paired with:
Duke (environmental radionuclide measurement), and
NC State (materials + fertilizer system insight),
UTK completes a three-node academic backbone covering measurement, mechanism, and radiological engineering.
</t>
  </si>
  <si>
    <t xml:space="preserve">University of Arizona </t>
  </si>
  <si>
    <t>The University of Arizona (UA) is a Tier-1 public research university with internationally recognized strengths in environmental engineering, geochemistry, hydrology, and radionuclide transport modeling. UA has long worked on naturally occurring radioactive materials (NORM) in mining, industrial residues, and phosphate-bearing systems, making it highly relevant to phosphogypsum (PG) challenges.
UA’s research culture strongly emphasizes field-based validation, systems modeling, and risk-informed engineering, aligning well with NutriCrops’ need to move beyond lab proof-of-concept toward deployment-ready solutions.</t>
  </si>
  <si>
    <t>Tucson, Arizona, USA</t>
  </si>
  <si>
    <t>https://www.arizona.edu
College of Engineering:
https://engineering.arizona.edu
Department of Chemical &amp; Environmental Engineering:
https://cece.engineering.arizona.edu
Department of Hydrology &amp; Atmospheric Sciences:
https://has.arizona.edu</t>
  </si>
  <si>
    <t>Radionuclide transport and fate in complex matrices
Uranium, thorium, and radium geochemistry
Environmental risk modeling for radioactive residues
Immobilization and stabilization of radioactive contaminants
Phosphate-bearing waste and mining residue assessment</t>
  </si>
  <si>
    <t>Reactive transport modeling of radionuclides in solid–liquid systems
Geochemical speciation modeling (U, Th, Ra behavior in phosphates)
Stabilization and immobilization strategies using mineralogical controls
Field-scale validation of lab-developed mitigation techniques
Risk-based exposure modeling for reuse scenarios
These approaches are directly applicable to:
PG stack risk reduction
PG reuse qualification
Radioactivity threshold compliance</t>
  </si>
  <si>
    <t>Phosphogypsum contains naturally occurring radioactive materials (NORM), primarily:
Ra-226
U-238 decay products
Th-230
UA has published extensively on:
How radionuclides bind to phosphate and sulfate phases
How chemical treatment alters radionuclide mobility
Long-term environmental behavior of radioactive industrial byproducts
This makes UA particularly valuable for determining whether PG can be rendered safe for reuse, not just technically but regulatorily.</t>
  </si>
  <si>
    <t>Ongoing DOE- and NSF-funded research on uranium transport in engineered and natural systems
Active work on radioactive contamination in mining residues
Applied research on immobilization of radionuclides using mineral amendments
Collaboration with federal agencies and national labs on environmental radiochemistry
UA is regularly involved in regulatory-grade science, not just academic publication.</t>
  </si>
  <si>
    <t>Strong potential for process-enabling IP (models, treatment pathways, stabilization protocols)
IP is typically developed in partnership with:
DOE
NSF
Federal environmental agencies
UA IP is often licensable rather than locked, favorable for open innovation</t>
  </si>
  <si>
    <t>Strong history of collaboration with:
U.S. Department of Energy (DOE)
U.S. Geological Survey (USGS)
National Laboratories (INL, LANL, SRNL-adjacent work)
Open to:
Multi-institution consortia
Industry-co-funded applied research
Field pilots with external operators</t>
  </si>
  <si>
    <t>Requires access to:
Real PG samples
Field pilot environments
Best leveraged in consortium, not standalone</t>
  </si>
  <si>
    <t>University of Arizona provides something very few actors can:
Regulatory-credible proof that radioactive elements in phosphogypsum can be controlled, immobilized, or rendered safe for reuse.
Without this layer:
Technologies stall
Regulators resist
Deployment fails
UA is a keystone validation partner.</t>
  </si>
  <si>
    <t>University of Arizona:
https://www.arizona.edu
Department of Chemical &amp; Environmental Engineering:
https://cece.engineering.arizona.edu
Hydrology &amp; Atmospheric Sciences (environmental transport modeling):
https://has.arizona.edu
UA College of Engineering Research Areas:
https://engineering.arizona.edu/research</t>
  </si>
  <si>
    <t>UA is not optional if NutriCrops wants regulatory-grade credibility
Best positioned as:
Scientific validator
Risk-assessment lead
Environmental safety authority
Ideal pairing:
UA + SRNL (radioactivity)
UA + UF/FSU (PG systems)
UA + industry pilot (Florida)</t>
  </si>
  <si>
    <t>U.S. Department of Energy (DOE)
National Science Foundation (NSF)
Federal environmental and mining-related programs
Industry-sponsored applied research</t>
  </si>
  <si>
    <t>Gerogia Tech</t>
  </si>
  <si>
    <t xml:space="preserve">Georgia Institute of Technology is a top-tier U.S. technical university with strong capabilities in chemical engineering, materials science, nuclear &amp; radiological engineering, environmental engineering, and systems modeling. Georgia Tech is particularly known for applied, engineering-driven research that bridges laboratory discovery with industry-relevant validation. Its research culture emphasizes scalability, systems integration, and industrial translation, making it a strong upstream partner for complex materials and separation challenges such as phosphogypsum remediation.
</t>
  </si>
  <si>
    <t>Atlanta, GA, USA</t>
  </si>
  <si>
    <t>https://coe.gatech.edu/research</t>
  </si>
  <si>
    <t xml:space="preserve">Separation science and process engineering
Functional materials and sorbents
Chemical and materials systems modeling
Radiological and nuclear materials behavior (academic level)
Environmental and industrial waste treatment (engineering focus)
</t>
  </si>
  <si>
    <t xml:space="preserve">Development of advanced separation materials (e.g., functionalized sorbents, membranes).
Process modeling and simulation to optimize separation performance and throughput.
Systems-level analysis linking materials properties to process outcomes.
Laboratory validation of separation concepts in controlled, non-hot environments.
Georgia Tech’s strength is engineering rigor and system optimization, not radioactive-material handling.
</t>
  </si>
  <si>
    <t xml:space="preserve">The core PG challenge is selective separation within a complex mineral matrix, which aligns with Georgia Tech’s expertise in chemical engineering and materials science.
Its work on separation materials, transport phenomena, and process design can be directly applied to isolating Ra-226–bearing fractions.
Georgia Tech contributes at the stage where separation concepts are made efficient, scalable, and engineerable before radioactive demonstration.
</t>
  </si>
  <si>
    <t xml:space="preserve">Ongoing research across ChBE and MSE on separations, adsorption, membranes, and materials design.
Active federally funded research (NSF, DOE) on materials and process systems relevant to energy and environmental challenges.
Strong publication record in separation science, materials engineering, and applied chemical engineering.
</t>
  </si>
  <si>
    <t xml:space="preserve">Separation materials and process models are IP-generating domains.
Georgia Tech has a strong technology transfer and commercialization office (VentureLab).
IP typically sits at early to mid TRL, suitable for handoff to national labs or industry for demonstration.
</t>
  </si>
  <si>
    <t xml:space="preserve">High, but structured:
Collaborates through federally funded research programs (NSF, DOE), industry-sponsored research, and multi-university consortia.
National lab partners: Regular collaboration with DOE national labs through joint research and transition pathways.
University partners: Frequent collaboration with R1 institutions such as Penn State, MIT, Stanford, and others in chemical engineering and materials science.
Industry partners: Active engagement with industrial partners through sponsored research and VentureLab.
International partners: Open to international collaboration via Georgia Tech’s Office of International Initiatives.
Engagement requirement:
Most effective when collaboration is framed around a specific, well-defined engineering or separation problem.
</t>
  </si>
  <si>
    <t xml:space="preserve">No hot-cell or radioactive-material demonstration facilities.
Best used for clearly scoped separation or materials challenges, not end-to-end PG solutions.
Requires downstream partners (ORNL, SRNL, industry) for radioactive validation and deployment.
</t>
  </si>
  <si>
    <t xml:space="preserve">Georgia Tech is valuable because it combines deep expertise in separation science, materials engineering, and process modeling with an applied, systems-oriented mindset. This makes it an ideal upstream partner for designing and optimizing phosphogypsum separation approaches before radioactive validation and demonstration are undertaken by national laboratories or industry.
</t>
  </si>
  <si>
    <t xml:space="preserve">International engagement. Strong engineering and systems orientation.
Best used to optimize separation efficiency and process design.
Not a radioactive demonstration site.
Natural handoff partner to ORNL/SRNL.
Highly compatible with open-innovation and international collaboration models.
Office of International Initiatives
https://international.gatech.edu
Extensive global research partnerships and international programs.
Well suited for international open-innovation projects at the discovery and validation stages.
</t>
  </si>
  <si>
    <t xml:space="preserve">Iowa State University </t>
  </si>
  <si>
    <t xml:space="preserve">Iowa State University (ISU) is a major public land-grant research university in Ames, Iowa with a broad science and engineering portfolio. It is distinctive among U.S. universities because it hosts Ames National Laboratory — a U.S. Department of Energy (DOE) national lab co-located on campus — creating a highly integrated research ecosystem spanning materials science, nuclear and radiological chemistry, environmental science, and analytical technology.
ISU has research strengths across engineering (materials, environmental, civil), chemistry, physics, and earth sciences, with faculty involved in measurement science and environmental systems that may relate indirectly to radionuclides and TENORM.
</t>
  </si>
  <si>
    <t>Ames, IA, USA</t>
  </si>
  <si>
    <t>https://www.iastate.edu/</t>
  </si>
  <si>
    <t xml:space="preserve">Ames National Laboratory: High-end materials synthesis &amp; analysis, advanced chemistry, analytical measurement infrastructure.
Engineering departments: Civil, environmental, materials, chemical engineering research programs focused on environmental systems, materials behavior, and pollutant fate.
Environmental Health &amp; Safety (EHS): Manages radioactive materials use and compliance protocols (though not research output).
</t>
  </si>
  <si>
    <t xml:space="preserve">ISU’s contributions derive from multi-disciplinary research infrastructure rather than a single dedicated radionuclide group:
A. Ames National Laboratory Interface
Ames Lab is a DOE National Laboratory physically embedded at ISU. It conducts fundamental and applied research in materials science, chemistry, and analytical tools that can be relevant to radionuclide characterization and new separations.
Laboratory faculty often hold joint appointments with ISU departments, facilitating university–lab collaboration on projects spanning chemistry, materials, and advanced measurement.
B. Department of Civil, Construction and Environmental Engineering
Focus is on environmental engineering solutions including contaminant transport and environmental sustainability, which are relevant for modeling and understanding radionuclide behavior and remediation challenges.
C. Radiation Safety Program &amp; EHS Oversight
ISU has internal controls for all radioactive material usage and waste, indicating institutional capability and compliance experience (important for handling TENORM in research).
</t>
  </si>
  <si>
    <t xml:space="preserve">While ISU does not currently publish directly on phosphogypsum radionuclide extraction, it is still a valuable partner because:
Ames National Laboratory provides high-end analytical capabilities and materials research context that could support foundational radionuclide measurement, separation chemistry, and material transformation work.
ISU engineering faculties specialize in environmental system analysis, materials behavior, pollutant transport, and waste systems — all relevant to TENORM environmental challenges.
The infrastructure for safe radioactive material use through ISU’s EHS and Radiation Safety Committee supports compliant experimental design.
</t>
  </si>
  <si>
    <t xml:space="preserve">ISU EHS manages a licensed Radioactive Materials program, which shows the university has experience with regulation and safety for radioactive research, a precursor to radionuclide experimentation.
Collaborative environments between ISU and Ames National Laboratory are documented, indicating ease of cross-institution research on advanced topics.
Faculty across ISU engineering and science departments engage in environmental modeling, materials analysis, and related research — foundational elements for addressing TENORM.
</t>
  </si>
  <si>
    <t xml:space="preserve">ISU’s contribution is primarily in research methods, analytical techniques, modeling frameworks, and materials science insights — not in third-party commercialized radionuclide extraction technologies. Collaborative research with Ames National Lab could generate new measurement tools or reaction platforms with commercialization potential, but this would need specific project framing.
</t>
  </si>
  <si>
    <t xml:space="preserve">Academic and national lab collaboration partner, particularly for:
Fundamental research
Measurement and materials analysis
Environmental modeling
Joint research proposals
ISU’s role would be more situated toward science support and foundational research, with specific project design required to align with NutriCrops goals.
</t>
  </si>
  <si>
    <t xml:space="preserve">ISU would require project-specific research framing around TENORM and radionuclide remediation to engage relevant faculty effectively.
Any work with radioactive materials at ISU requires EHS authorization and Radiation Safety Committee approval.
No direct published track record of phosphogypsum research to date — so NC State or Duke may be stronger for immediate direct research relevance.
</t>
  </si>
  <si>
    <t xml:space="preserve">Iowa State is valuable for foundational science and analytical capability, not direct phosphogypsum radionuclide remediation IP today:
Ames National Laboratory provides one of the strongest advanced materials and analytical platforms in the U.S. among universities.
Engineering &amp; environmental faculties are strong in contaminant transport and materials behavior.
ISU’s research ecosystem is large and multidisciplinary, which is useful for cross-cutting problems like radionuclide fate in complex matrices.
</t>
  </si>
  <si>
    <t xml:space="preserve">Iowa State University | https://www.iastate.edu/
Ames National Laboratory | https://www.ameslab.gov/
Iowa State Engineering Resources | https://www.iastate.edu/academics/majors-minors-certificates/engineering
Iowa State EHS Radiation Safety | https://www.ehs.iastate.edu/radiation-safety
Iowa State EHS Radioactive Materials Program | https://www.ehs.iastate.edu/ram
Iowa State Radiation Safety Committee | https://compliance.iastate.edu/research-ethics-compliance/rsc/
EPA Phosphogypsum Overview | https://www.epa.gov/radiation/phosphogypsum
EPA TENORM Definition | https://www.epa.gov/radiation/technologically-enhanced-naturally-occurring-radioactive-materials-tenorm
</t>
  </si>
  <si>
    <t xml:space="preserve">Iowa State’s profile improves substantially if partnered with Ames National Laboratory researchers focused on analytical chemistry, material separation science, or environmental chemical transformation — which is common due to the physical co-location and joint personnel. For deeper engagement, the partner map could consider Ames Lab as a separate entity given its DOE status and much stronger applied research focus.
</t>
  </si>
  <si>
    <t>New Mexico Institute of Mining and Technology (New Mexico Tech)</t>
  </si>
  <si>
    <t>New Mexico Institute of Mining and Technology (NMT), commonly known as New Mexico Tech, is a highly specialized U.S. public research university with national-level expertise in radiochemistry, nuclear engineering, geosciences, hydrology, mining engineering, environmental remediation, and industrial waste management.
Despite its smaller size, NMT is recognized for hands-on, field-driven, and DOE/EPA-linked applied research, particularly in environments affected by radioactive materials, heavy metals, and legacy mining waste—making it directly relevant to phosphogypsum challenges.</t>
  </si>
  <si>
    <t>Socorro, New Mexico, USA</t>
  </si>
  <si>
    <t>https://www.nmt.edu/</t>
  </si>
  <si>
    <t>Radiochemistry &amp; nuclear materials science
Radioactive waste characterization and remediation
Environmental geochemistry &amp; hydrogeology
Mining engineering &amp; mineral processing
Soil–water contamination pathways
Environmental sensing and monitoring systems</t>
  </si>
  <si>
    <t xml:space="preserve">Radiochemical Characterization &amp; Separation
Measurement and modeling of radionuclides (Ra-226, U-series isotopes, Th-series)
Laboratory-scale radionuclide separation and immobilization methods
Radioactivity fate &amp; transport modeling
Relevance: Core science needed to understand, reduce, or isolate radioactive components in phosphogypsum prior to reuse or valorization.
Environmental Remediation &amp; Waste Stabilization
Chemical immobilization and encapsulation strategies
Reactive barriers and geochemical stabilization
Long-term containment and risk modeling
Relevance: Directly applicable to making phosphogypsum safer for downstream use or controlled deployment.
Mining &amp; Mineral Waste Valorization
Industrial by-product beneficiation
Mineral recovery from waste streams
Pilot-scale mineral processing experiments
Relevance: Enables circular economy pathways for phosphogypsum, including nutrient and mineral recovery.
Soil, Water &amp; Contaminant Transport Science
Hydrogeochemical modeling
Soil–water interaction under contaminant stress
Arid-zone soil systems
Environmental Monitoring &amp; Sensors
Field-deployable radiation and environmental sensors
Data-driven environmental monitoring system. </t>
  </si>
  <si>
    <t>Radiochemistry expertise directly addresses PG radioactivity
Environmental remediation methods applicable to PG stabilization
Mineral processing knowledge supports PG valorization
Monitoring tools support regulatory-grade validation</t>
  </si>
  <si>
    <t>Longstanding involvement in radioactive waste and uranium-legacy site studies in the U.S. Southwest
Faculty participation in DOE- and EPA-funded remediation projects
Applied research on mine tailings, industrial by-products, and contaminated soils
Training of engineers and scientists who move directly into national labs and environmental remediation programs</t>
  </si>
  <si>
    <t>IP typically generated around:
Radiochemical separation methods
Environmental remediation processes
Sensor and monitoring systems
IP generally pre-commercial and suitable for:
Licensing
Joint development
Open-innovation pilots with industry</t>
  </si>
  <si>
    <t>Strong history of collaboration with:
U.S. Department of Energy (DOE) programs
EPA remediation initiatives
National laboratories (LANL, INL, SNL adjacencies)
Well-aligned with open innovation, joint research, and applied pilots
Comfortable operating as a technical validator rather than system integrator</t>
  </si>
  <si>
    <t>Limited in-house agronomic deployment capacity
Best used as:
A core technical science node
Not a full agriculture systems hub
Requires complementary partners (e.g., land-grant ag universities)</t>
  </si>
  <si>
    <t>Rare combination of radiochemistry + environmental remediation + mining waste expertise
Strong credibility with regulators and national labs
Ideal for de-risking radioactive phosphogypsum pathways
Supports UM6P-US strategy of science-driven, open innovation hubs</t>
  </si>
  <si>
    <t>New Mexico Tech official site:
https://www.nmt.edu/
Earth &amp; Environmental Science Dept.:
https://www.nmt.edu/academics/departments/ees/
Chemical &amp; Nuclear Engineering:
https://www.nmt.edu/academics/departments/cneng/
Mining Engineering Program:
https://www.nmt.edu/academics/departments/mining/</t>
  </si>
  <si>
    <t>New Mexico Tech should be positioned as a technical backbone node for NutriCrops—not a lead agriculture hub, but a high-value enabler for radioactive risk mitigation, environmental validation, and waste valorization science.
Best deployed in multi-hub collaboration alongside:
Florida Phosphate Hub (real PG stockpiles)
Midwest ag systems hubs
National laboratories (ORNL, INL, SRNL)</t>
  </si>
  <si>
    <t>Regular participation in:
DOE research grants
EPA environmental remediation programs
Federal and state environmental research funding
Strong linkage to national laboratory ecosystems</t>
  </si>
  <si>
    <t>North Carolina State University</t>
  </si>
  <si>
    <t>North Carolina State University (NC State) hosts one of the largest and most applied nuclear engineering programs in the United States, with longstanding strength in radiochemistry, nuclear materials, radiation protection, waste systems, and regulatory-facing nuclear science. NC State is widely recognized for its deployment-oriented, regulator-aware approach to nuclear and radiological challenges.
For NutriCrops, NC State provides a bridge between laboratory science and real-world implementation, particularly where phosphogypsum (PG) intersects with radiation safety, waste classification, and operational compliance.</t>
  </si>
  <si>
    <t>Raleigh, North Carolina, USA</t>
  </si>
  <si>
    <t>https://www.ncsu.edu/</t>
  </si>
  <si>
    <t>Nuclear engineering and radiochemistry
Radiation protection and dosimetry
Nuclear materials and waste systems
Radionuclide transport and behavior
Nuclear regulatory science and compliance
Applied systems engineering for nuclear-adjacent materials</t>
  </si>
  <si>
    <t>NC State contributes through applied, regulator-conscious methodologies, including:
Radiochemistry and radionuclide analysis
Low-activity radiochemical measurements
Controlled laboratory handling
Radiation protection &amp; dose assessment
Exposure pathway analysis
Occupational and environmental dose modeling
Nuclear waste and materials systems
Conditioning and classification logic
Comparative assessment of reuse vs disposal
Systems-level engineering
Integration of chemistry, safety, and operations
Compliance-aware process design</t>
  </si>
  <si>
    <t>NC State is highly relevant to PG because:
PG is regulated primarily through radiation exposure and classification
Deployment success depends on operational compliance, not just chemistry
NC State supports NutriCrops by:
Quantifying radiological exposure and compliance margins
Supporting regulatory interpretations of PG-derived materials
Designing operationally realistic handling and monitoring frameworks</t>
  </si>
  <si>
    <t>Continuous participation in DOE Nuclear Energy University Program (NEUP) awards
Longstanding leadership in:
Radiation protection education and research
Nuclear materials and waste systems
Strong graduate and professional pipeline into:
NRC
DOE national laboratories
Nuclear and radiological industries
Active collaboration with national labs and regulators</t>
  </si>
  <si>
    <t>Produces:
Applied methodologies
Safety assessment tools
Regulatory and operational frameworks
IP is typically methods- and systems-oriented, supporting deployment rather than proprietary process chemistry</t>
  </si>
  <si>
    <t>NC State operates through multi-university DOE NEUP consortia (with partners including MIT, Texas A&amp;M, University of Michigan, Penn State, Wisconsin–Madison, and UTK), maintains active university–national lab collaborations with ORNL, INL, and SRNL, and engages closely with U.S. regulators (NRC, DOE) through research, training, and workforce pipelines. Its applied research culture emphasizes shared execution, compliance realism, and industry-aligned outcomes, rather than siloed academic work.</t>
  </si>
  <si>
    <t>Depends on:
Upstream separation chemistry (ORNL, UC Berkeley, FSU)
Pilot-scale data for full system validation
Does not operate hot-cell–level radiochemical facilities
Not an agricultural field-testing institution</t>
  </si>
  <si>
    <t>NC State is valuable because it:
Brings regulatory and operational realism early into PG pathways
Reduces the risk of non-compliant or impractical deployment designs
Provides credible, regulator-aware analysis for PG handling and reuse
Complements MIT NSE by focusing more on applied operations and compliance</t>
  </si>
  <si>
    <t>North Carolina State University: https://www.ncsu.edu
Department of Nuclear Engineering: https://www.ne.ncsu.edu
College of Engineering: https://www.engr.ncsu.edu
DOE NEUP Program: https://www.energy.gov/ne/services/funding-opportunities/nuclear-energy-university-program-neup</t>
  </si>
  <si>
    <t>NC State should be positioned as an applied nuclear engineering and regulatory translation partner, particularly valuable for operationalizing PG solutions under real-world compliance constraints. Best engaged once PG processing concepts exist but before deployment, to ensure radiation safety, handling, and monitoring frameworks are practical and regulator-aligned.</t>
  </si>
  <si>
    <t>U.S. Department of Energy (DOE)
Office of Nuclear Energy (NEUP)
Office of Science
U.S. Nuclear Regulatory Commission (NRC)
Radiation protection and nuclear safety research
Industry-sponsored applied research
State and federal engineering research programs
(NC State consistently ranks among the top U.S. public universities for nuclear engineering research activity and regulator-facing nuclear education.)</t>
  </si>
  <si>
    <t>Washington State University</t>
  </si>
  <si>
    <t>Washington State University (WSU) is one of the few U.S. land-grant universities with longstanding strength in nuclear chemistry, radiochemistry, and environmental behavior of radionuclides, supported by unique infrastructure such as the WSU Nuclear Radiation Center (research reactor). WSU combines nuclear-adjacent chemistry with soil, water, and agricultural systems expertise, positioning it at the interface of radiochemistry, environment, and deployment.
For Nutri-Crops, WSU is particularly valuable for understanding how radionuclides and trace elements behave once processed materials leave the lab and enter environmental or agricultural systems.</t>
  </si>
  <si>
    <t>Pullman, Washington, USA</t>
  </si>
  <si>
    <t>https://wsu.edu/</t>
  </si>
  <si>
    <t>Nuclear chemistry and radiochemistry
Environmental fate and transport of radionuclides
Low-activity radioactive materials analysis
Soil–water–contaminant interactions
Applied environmental and agricultural chemistry
Deployment-oriented land-grant research</t>
  </si>
  <si>
    <t>WSU contributes through experimentally grounded, application-aware approaches, including:
Radiochemical analysis
Measurement and characterization of radionuclides
Low-activity nuclear materials handling
Environmental radiochemistry
Radionuclide mobility in soils and waters
Interaction with minerals and organic matter
Soil and water chemistry
Fate of trace elements under agricultural conditions
Land-grant deployment logic
Translation of lab results into field-relevant contexts
Extension-aware research design</t>
  </si>
  <si>
    <t>WSU is highly relevant to PG because:
PG challenges extend beyond separation into environmental fate
Regulatory acceptance depends on realistic soil and water behavior
Land-grant credibility matters for agricultural use cases
WSU supports Nutri-Crops by:
Evaluating post-processing behavior of PG-derived materials
Identifying environmental failure modes early
Supporting safe nutrient deployment narratives</t>
  </si>
  <si>
    <t>Operation of the WSU Nuclear Radiation Center, one of the few university-based research reactors in the U.S.
Sustained research in:
Nuclear and environmental chemistry
Radionuclide fate and transport
Participation in DOE- and federally funded projects related to nuclear and environmental systems
Strong integration between chemistry, engineering, and agricultural sciences</t>
  </si>
  <si>
    <t>Produces:
Experimental datasets
Environmental behavior models
Measurement and validation methodologies
IP is typically methods- and data-driven, supporting:
Regulatory science
Environmental validation
Deployment frameworks</t>
  </si>
  <si>
    <t>WSU operates through:
Multi-university federally funded research projects
University–national laboratory collaborations
Strong internal integration between:
Chemistry
Engineering
Agriculture
Land-grant extension culture emphasizing shared execution and applied outcomes</t>
  </si>
  <si>
    <t>Depends on:
Upstream separation and processing partners (ORNL, UC Berkeley, Texas A&amp;M)
Not a hot-cell or industrial-scale radiochemical processing site
Limited role in agronomic yield trials (better paired with UC Davis, Iowa State)</t>
  </si>
  <si>
    <t>Bridges radiochemistry and real-world environmental systems
Reduces risk of post-deployment environmental surprises
Provides land-grant credibility for agriculture-linked use cases
Complements Duke/UNC by adding nuclear-aware environmental chemistry</t>
  </si>
  <si>
    <t>Washington State University: https://wsu.edu
Department of Chemistry: https://chemistry.wsu.edu
WSU Nuclear Radiation Center: https://nrc.wsu.edu
College of Agricultural, Human, and Natural Resource Sciences: https://cahnrs.wsu.edu</t>
  </si>
  <si>
    <t>WSU should be positioned as an environmental radiochemistry and deployment-validation partner, engaged after PG processing concepts are defined and before or alongside agricultural/environmental deployment. It is especially useful for bridging nuclear science with land-grant agriculture realities, a key gap in many PG initiatives.</t>
  </si>
  <si>
    <t>U.S. Department of Energy (DOE) (nuclear and environmental programs)
Federal science agencies (NSF, USDA for land-grant research)
State and federal applied research funding
Collaborative, multi-institution research grants</t>
  </si>
  <si>
    <t>Texas A&amp;M University</t>
  </si>
  <si>
    <r>
      <t xml:space="preserve">These units jointly support </t>
    </r>
    <r>
      <rPr>
        <b/>
        <sz val="12"/>
        <color theme="1"/>
        <rFont val="Calibri"/>
        <family val="2"/>
        <scheme val="minor"/>
      </rPr>
      <t>separation science, waste-to-resource processing, and industrial residue treatment</t>
    </r>
    <r>
      <rPr>
        <sz val="12"/>
        <color theme="1"/>
        <rFont val="Calibri"/>
        <family val="2"/>
        <scheme val="minor"/>
      </rPr>
      <t>, including NSF-funded work explicitly using phosphogypsum as a feedstock. + Texas A&amp;M University (TAMU) hosts one of the largest and most comprehensive nuclear engineering ecosystems in the United States, tightly integrated with applied chemical engineering, radiochemistry, and DOE-funded nuclear research programs. TAMU is uniquely positioned between fundamental nuclear science and applied, engineer-ready solutions, making it a strong translation partner between ORNL-grade science and industrial deployment.
For NutriCrops, Texas A&amp;M provides applied nuclear chemistry, separation engineering, isotope handling expertise, and scale-aware process design, particularly relevant for phosphogypsum (PG) streams containing radionuclides and REEs.</t>
    </r>
  </si>
  <si>
    <t>College Station, Texas, USA</t>
  </si>
  <si>
    <t>https://www.tamu.edu/</t>
  </si>
  <si>
    <t>Processing of mineral residues and industrial byproducts + Nuclear engineering and radiochemistry
Nuclear fuel cycle and materials processing
Radionuclide separations and partitioning
Chemical process engineering and scale-up
Isotope science and nuclear materials handling
Waste management and conditioning</t>
  </si>
  <si>
    <r>
      <t xml:space="preserve">Use of </t>
    </r>
    <r>
      <rPr>
        <b/>
        <sz val="12"/>
        <color theme="1"/>
        <rFont val="Calibri"/>
        <family val="2"/>
        <scheme val="minor"/>
      </rPr>
      <t>techno-economic analysis (TEA)</t>
    </r>
    <r>
      <rPr>
        <sz val="12"/>
        <color theme="1"/>
        <rFont val="Calibri"/>
        <family val="2"/>
        <scheme val="minor"/>
      </rPr>
      <t xml:space="preserve"> and </t>
    </r>
    <r>
      <rPr>
        <b/>
        <sz val="12"/>
        <color theme="1"/>
        <rFont val="Calibri"/>
        <family val="2"/>
        <scheme val="minor"/>
      </rPr>
      <t>life-cycle assessment (LCA)</t>
    </r>
    <r>
      <rPr>
        <sz val="12"/>
        <color theme="1"/>
        <rFont val="Calibri"/>
        <family val="2"/>
        <scheme val="minor"/>
      </rPr>
      <t xml:space="preserve"> to guide process design and viability. + Texas A&amp;M contributes through applied, engineer-centric methodologies, including:
Radiochemical and nuclear materials handling
Controlled radiochemistry labs
Isotope and radionuclide experimentation
Separation process engineering
Solvent extraction
Ion exchange and sorption systems
Nuclear fuel cycle–relevant chemistry
Actinide/lanthanide partitioning
Waste stream conditioning logic
Chemical engineering scale logic
Process modeling
Pilot-scale design thinking
Systems integration
Bridging lab chemistry with deployable unit operations</t>
    </r>
  </si>
  <si>
    <r>
      <t xml:space="preserve">Although much of the work focuses on valuable elements, the </t>
    </r>
    <r>
      <rPr>
        <b/>
        <sz val="12"/>
        <color theme="1"/>
        <rFont val="Calibri"/>
        <family val="2"/>
        <scheme val="minor"/>
      </rPr>
      <t>same separation logic can be applied to radioactive elements (e.g., Ra-226</t>
    </r>
    <r>
      <rPr>
        <sz val="12"/>
        <color theme="1"/>
        <rFont val="Calibri"/>
        <family val="2"/>
        <scheme val="minor"/>
      </rPr>
      <t xml:space="preserve"> / Texas A&amp;M is highly relevant to PG because:
PG behaves like a low-activity nuclear-adjacent waste
Processing PG requires radiochemistry discipline + engineering realism
TAMU operates comfortably in this regulatory and technical space
TAMU supports NutriCrops by:
Validating radionuclide separation pathways
Stress-testing process robustness
Translating lab chemistry into engineering-feasible flowsheets</t>
    </r>
  </si>
  <si>
    <t>Continuous participation in DOE Nuclear Energy University Program (NEUP) awards
Long-standing research in:
Nuclear materials and fuel cycle chemistry
Radionuclide separations
Nuclear waste processing
Strong graduate pipeline into:
ORNL
INL
National nuclear and chemical industries
Active role of TEES in applied, sponsor-driven engineering research</t>
  </si>
  <si>
    <t>Generates process-oriented IP, including:
Separation process concepts
Engineering methodologies
Applied nuclear systems designs
IP is typically translational, designed to be:
Picked up by national labs
Further developed by industry partners</t>
  </si>
  <si>
    <t>Texas A&amp;M operates through:
Multi-university DOE consortia (NEUP)
University–national lab collaborations (ORNL, INL)
Industry-facing applied research via TEES
Joint supervision of graduate researchers
Culture is collaborative, applied, and sponsor-aligned, not siloed.</t>
  </si>
  <si>
    <t>Depends on:
Upstream chemical selectivity definition (UC Berkeley / FSU)
Regulated material handling pathways (ORNL for higher activity streams)
Not an agricultural field-testing institution</t>
  </si>
  <si>
    <t>Texas A&amp;M is valuable because it:
Operates comfortably at the intersection of nuclear regulation and chemical engineering
Translates separation concepts into engineering-feasible processes
Reduces risk between lab success and pilot failure
Provides scale-aware thinking early, lowering downstream costs</t>
  </si>
  <si>
    <t>https://engineering.tamu.edu/nuclear + https://engineering.tamu.edu/chemical + https://tees.tamu.edu/ + https://www.energy.gov/ne/services/funding-opportunities/nuclear-energy-university-program-neup</t>
  </si>
  <si>
    <t>Texas A&amp;M should be positioned as a core applied nuclear–engineering translation partner for NutriCrops. Best engaged after chemical selectivity is validated and before ORNL-scale pilots, where its engineering realism can prevent over-designed or non-scalable PG processing concepts.</t>
  </si>
  <si>
    <t>U.S. Department of Energy (DOE)
Office of Nuclear Energy (NEUP)
Office of Science
Texas A&amp;M Engineering Experiment Station (TEES)
Industry-sponsored applied research
U.S. Department of Defense (selective)
Industry-sponsored research in nuclear and chemical systems</t>
  </si>
  <si>
    <t>Princeton University</t>
  </si>
  <si>
    <r>
      <t>Center for Critical Minerals (C²M)</t>
    </r>
    <r>
      <rPr>
        <sz val="12"/>
        <color theme="1"/>
        <rFont val="Calibri"/>
        <family val="2"/>
        <scheme val="minor"/>
      </rPr>
      <t xml:space="preserve"> (interdisciplinary, housed within EMS)</t>
    </r>
    <r>
      <rPr>
        <b/>
        <sz val="12"/>
        <color theme="1"/>
        <rFont val="Calibri"/>
        <family val="2"/>
        <scheme val="minor"/>
      </rPr>
      <t xml:space="preserve">+ </t>
    </r>
    <r>
      <rPr>
        <sz val="12"/>
        <color theme="1"/>
        <rFont val="Calibri"/>
        <family val="2"/>
        <scheme val="minor"/>
      </rPr>
      <t>Princeton University is a globally recognized research institution with deep strength in nuclear systems modeling, environmental geochemistry, radionuclide transport, and long-term risk analysis, supported by close ties to the U.S. Department of Energy ecosystem, including the Princeton Plasma Physics Laboratory (PPPL).
For NutriCrops, Princeton’s value lies in its ability to model, stress-test, and de-risk phosphogypsum (PG) pathways at the system level, particularly where long-term behavior, environmental transport, and regulatory defensibility are decisive.
Princeton does not perform bulk radiochemical separations; instead, it provides analytical and predictive rigor that complements ORNL, UC Berkeley, and MIT.</t>
    </r>
  </si>
  <si>
    <t>Princeton, New Jersey, USA</t>
  </si>
  <si>
    <t>https://www.princeton.edu/</t>
  </si>
  <si>
    <t>Nuclear systems analysis and modeling
Radionuclide transport and fate in geologic and environmental systems
Environmental geochemistry (U, Th, Ra behavior)
Long-term risk and uncertainty analysis
Energy and materials systems modeling</t>
  </si>
  <si>
    <t>Mineral residue handling and process integration (Energy &amp; Mineral Engineering) Princeton contributes through theory-driven and computationally rigorous approaches, including:
Radionuclide transport &amp; fate modeling
Migration in soils, sediments, and engineered materials
Coupled chemical–physical transport models
Environmental geochemistry
Behavior of uranium, thorium, radium in mineral and sulfate-rich systems
Interaction of radionuclides with natural matrices
Systems-level nuclear analysis
Comparative assessment of remediation vs reuse vs containment
Scenario-based modeling over decades to centuries
Uncertainty &amp; sensitivity analysis
Identification of dominant failure modes
Bounding-case analysis for regulators</t>
  </si>
  <si>
    <r>
      <t xml:space="preserve">Its </t>
    </r>
    <r>
      <rPr>
        <b/>
        <sz val="12"/>
        <color theme="1"/>
        <rFont val="Calibri"/>
        <family val="2"/>
        <scheme val="minor"/>
      </rPr>
      <t>Center for Critical Minerals</t>
    </r>
    <r>
      <rPr>
        <sz val="12"/>
        <color theme="1"/>
        <rFont val="Calibri"/>
        <family val="2"/>
        <scheme val="minor"/>
      </rPr>
      <t xml:space="preserve"> explicitly targets recovery and management of elements from complex industrial materials, including PG. Princeton is relevant to PG because PG challenges are long-horizon and systems-based:
Long-term radionuclide stability
Environmental transport under changing conditions
Regulatory defensibility over decades
Princeton enables NutriCrops to:
Predict long-term behavior of PG-derived materials
Identify low-probability, high-impact risks
Provide quantitative evidence supporting safe reuse or transformation pathways</t>
    </r>
  </si>
  <si>
    <t>Ongoing DOE-funded research in:
Nuclear systems modeling
Environmental and geochemical transport
Strong publication record in:
Environmental geochemistry
Nuclear systems analysis
PPPL operates as a DOE national laboratory, reinforcing Princeton’s credibility within regulated energy and nuclear research ecosystems</t>
  </si>
  <si>
    <t>Outputs are primarily:
Models
Simulation frameworks
Analytical methodologies
IP is non-process, typically open or method-based
High value for:
Risk assessment
Regulatory documentation
Decision-support tools</t>
  </si>
  <si>
    <t>Princeton operates through:
Multi-university DOE-funded research programs
University–national lab collaboration (via PPPL and DOE networks)
Interdisciplinary centers combining engineering, geoscience, and policy
Culture emphasizes shared models, joint publications, and consortium-based research, not isolated lab work.</t>
  </si>
  <si>
    <t>Requires:
Defined PG processing pathways
Empirical data from ORNL / Texas A&amp;M / UC Berkeley
Does not handle radioactive materials directly
Not an agricultural or industrial deployment partner</t>
  </si>
  <si>
    <t>Princeton is valuable because it:
Provides long-term credibility to PG reuse or remediation strategies
Identifies risks that may not appear in short-term pilots
Strengthens regulator confidence through quantitative, peer-reviewed modeling
Helps NutriCrops avoid strategies that are technically sound but long-term fragile</t>
  </si>
  <si>
    <t>https://www.princeton.edu 
Department of Geosciences: https://geosciences.princeton.edu
Mechanical &amp; Aerospace Engineering: https://mae.princeton.edu
Princeton Plasma Physics Laboratory (PPPL): https://www.pppl.gov</t>
  </si>
  <si>
    <t>Princeton should be positioned as a long-term risk and systems-validation partner, not an execution or chemistry hub. Best engaged in parallel with pilots to model long-term behavior and regulatory exposure, ensuring NutriCrops solutions remain defensible decades after deployment.</t>
  </si>
  <si>
    <t>U.S. Department of Energy (DOE)
Office of Science
PPPL core funding
Federal research grants in geosciences and nuclear systems
Interdisciplinary energy and environment research programs</t>
  </si>
  <si>
    <t>University of Michigan</t>
  </si>
  <si>
    <t>The University of Michigan (UMich) is one of the leading U.S. universities at the intersection of nuclear engineering, chemical engineering, environmental systems, and policy-aware deployment science. UMich has deep expertise in nuclear chemical engineering, radionuclide behavior, separation systems, waste and materials management, and integrated systems modeling, supported by sustained DOE-funded, multi-university collaboration.
For NutriCrops, Michigan plays a translation and integration role: connecting radiochemical and separation science to system design, lifecycle performance, and regulatory-relevant decision-making for phosphogypsum (PG).</t>
  </si>
  <si>
    <t>Ann Arbor, Michigan, USA</t>
  </si>
  <si>
    <t>https://www.umich.edu/</t>
  </si>
  <si>
    <t>Nuclear chemical engineering
Radiological sciences and radionuclide behavior
Separation systems and process modeling
Nuclear materials and waste systems
Environmental systems analysis and lifecycle modeling
Policy-relevant engineering and risk assessment</t>
  </si>
  <si>
    <t>University of Michigan contributes through integrated, systems-driven methods, including:
Nuclear chemical engineering
Actinide and radionuclide partitioning logic
Chemical behavior in complex waste matrices
Separation systems analysis
Solvent extraction and sorption concepts (engineering-focused)
Process performance modeling
Systems &amp; lifecycle modeling
Techno-economic analysis (TEA)
Lifecycle assessment (LCA)
Risk and policy-aware engineering
Comparative evaluation of reuse vs disposal vs transformation
Alignment with regulatory frameworks
Environmental systems integration
Linking materials processing to soil, water, and environmental impacts</t>
  </si>
  <si>
    <t>UMich is highly relevant to PG because:
PG processing requires nuclear-aware chemical engineering
Decisions hinge on system-level trade-offs, not single-unit operations
Michigan supports NutriCrops by:
Integrating radionuclide separations into coherent system designs
Evaluating performance, cost, and risk simultaneously
Preventing “locally optimal but systemically fragile” PG solutions</t>
  </si>
  <si>
    <t>Sustained participation in DOE Nuclear Energy University Program (NEUP) awards
Active research in:
Nuclear waste and materials systems
Radiochemical process modeling
Environmental systems analysis
Regular collaboration with:
ORNL
INL
Other DOE national laboratories
Graduates placed into:
National labs
Nuclear and chemical industries
Government and policy institutions</t>
  </si>
  <si>
    <t>Produces:
Systems models
Process frameworks
Engineering methodologies
IP is typically:
Translational
Methods- and system-oriented
High value for:
Design decisions
Investment and scale-up choices
Regulatory justification</t>
  </si>
  <si>
    <t>University of Michigan operates through multi-university DOE consortia with MIT, Texas A&amp;M, NC State, Penn State, Wisconsin–Madison, UTK, and Georgia Tech; maintains strong academic networks with ORNL- and INL-aligned universities (UTK, University of Idaho, Texas A&amp;M); and collaborates with UC Berkeley, Princeton, UNC-Chapel Hill, and Duke on environmental systems, risk modeling, and policy-relevant engineering.</t>
  </si>
  <si>
    <t>Depends on:
Upstream separation chemistry (UC Berkeley, FSU)
Radiochemical execution partners (ORNL, Texas A&amp;M)
Does not operate hot-cell-scale facilities
Not an agricultural field-testing institution</t>
  </si>
  <si>
    <t>The University of Michigan is valuable because it:
Integrates chemistry, engineering, economics, and risk
Identifies system-level failure modes early
Supports rational investment and scale-up decisions
Strengthens regulatory and policy defensibility of PG pathways
Michigan reduces the risk of technically correct but systemically non-viable NutriCrops solutions.</t>
  </si>
  <si>
    <t>https://ners.engin.umich.edu/ +https://che.engin.umich.edu/+ https://che.engin.umich.edu/+ https://seas.umich.edu/   https://www.energy.gov/ne/services/funding-opportunities/nuclear-energy-university-program-neup</t>
  </si>
  <si>
    <t>University of Michigan should be positioned as a systems-integration and decision-support partner. Best engaged after chemistry is validated but before pilot-scale capital commitment, to ensure PG pathways are robust across performance, cost, risk, and regulatory dimensions.</t>
  </si>
  <si>
    <t>U.S. Department of Energy (DOE)
Office of Nuclear Energy (NEUP)
Office of Science
Federal environmental and energy research grants
Industry-sponsored systems and modeling projects
Interdisciplinary sustainability and policy research funding</t>
  </si>
  <si>
    <t>Penn State University</t>
  </si>
  <si>
    <t>Penn State University has direct, department-level research capability relevant to phosphogypsum within the College of Engineering and the College of Earth and Mineral Sciences (EMS). The work most relevant to NutriCrops is concentrated in:</t>
  </si>
  <si>
    <t>State College, Pennsylvania, USA</t>
  </si>
  <si>
    <t>https://www.che.psu.edu/
https://www.ems.psu.edu/departments/energy-mineral-engineering
https://www.c2m.psu.edu/
https://www.psu.edu/news/engineering/story/engineers-sustainably-mine-rare-earth-elements-fertilizer-byproduct</t>
  </si>
  <si>
    <t>Chemical Engineering:
Separation science (electrodialysis, membranes, ion transport)
Process flowsheet design
Energy &amp; Mineral Engineering:
Processing of mineral residues and industrial byproducts
Waste-to-resource systems
Center for Critical Minerals (C²M):
Translation of separation concepts toward pilot-scale relevance
Industry-aligned process development</t>
  </si>
  <si>
    <t>Development of integrated separation flowsheets for phosphogypsum, including:
Chemical digestion / liberation (Chemical Engineering)
Electrodialysis and membrane-based separation (Chemical Engineering)
Mineral residue handling and process integration (Energy &amp; Mineral Engineering)
Use of techno-economic analysis (TEA) and life-cycle assessment (LCA) to guide process design and viability.
Research coordinated through C²M to ensure industry relevance.</t>
  </si>
  <si>
    <t>Penn State is directly relevant because:
Its Chemical Engineering department is developing separation architectures applicable to phosphogypsum.
Its Energy and Mineral Engineering department understands large-scale mineral residues similar to PG.
Its Center for Critical Minerals explicitly targets recovery and management of elements from complex industrial materials, including PG.
Although much of the work focuses on valuable elements, the same separation logic can be applied to radioactive elements (e.g., Ra-226</t>
  </si>
  <si>
    <t>NSF-funded multi-university project using phosphogypsum as a feedstock (Chemical Engineering–led).
Ongoing doctoral and faculty research in Chemical Engineering on separation processes for PG.
C²M-led efforts to connect laboratory work to pilot-scale and industry contexts.
Published sustainability and feasibility analyses for PG processing.</t>
  </si>
  <si>
    <t>Separation methods (membranes, electrodialysis, selective transport) are IP-generating areas within Chemical Engineering.
Penn State has an active technology transfer office; IP is typically early- to mid-stage.
Best paired with national labs for radioactive validation before commercialization.</t>
  </si>
  <si>
    <t>TRL 4-5 Lab  or Pilot</t>
  </si>
  <si>
    <t>High but structured; collaborates via federally funded programs and sponsored research with universities, national labs, industry, and international partners. Best engaged on well-defined separation and validation problems, with radioactive demonstration handled by national labs.</t>
  </si>
  <si>
    <t>Academic environment not a deployment operator.
PG work has focused more on resource recovery than radiological risk.
Requires pairing with:
ORNL (separation validation with radioactivity)
SRNL (hot-fraction handling)
Regulators (EPA / state agencies)</t>
  </si>
  <si>
    <t>Penn State is valuable because its Chemical Engineering and Energy &amp; Mineral Engineering departments, supported by the Center for Critical Minerals, are directly developing separation flowsheets using phosphogypsum. This makes Penn State a strong upstream technical partner for NutriCrops, capable of designing and evaluating how radioactive elements could be isolated from bulk phosphogypsum before handoff to national laboratories for demonstrations</t>
  </si>
  <si>
    <t>https://www.psu.edu
https://research.psu.edu
https://www.che.psu.edu
https://www.ems.psu.edu/departments/energy-mineral-engineering
https://www.c2m.psu.edu","Center for Critical Minerals
https://www.engineering.psu.edu/research","College of Engineering Research
https://global.psu.edu","Penn State Global"</t>
  </si>
  <si>
    <t>Relevant work sits primarily in Chemical Engineering and Energy &amp; Mineral Engineering.
One of the few universities working directly with phosphogypsum.
Strong at flowsheet design and feasibility, not radioactive demonstration.
Best used as an upstream technical backbone, paired with ORNL/SRNL.</t>
  </si>
  <si>
    <t>University of Illinois Urbana-Champaign (UIUC)</t>
  </si>
  <si>
    <t xml:space="preserve">The University of Illinois Urbana-Champaign (UIUC) is a top-tier U.S. public research university with internationally recognized strengths in chemical engineering, materials science, separation science, electrochemistry, and nuclear/radiological engineering. UIUC has a strong track record of translating laboratory separation technologies into venture-backed startups, including Valor, whose selective-extraction platform originated from UIUC research.
</t>
  </si>
  <si>
    <t>Urbana–Champaign, Illinois, USA</t>
  </si>
  <si>
    <t xml:space="preserve">UIUC main: https://www.illinois.edu/
Chemical &amp; Biomolecular Engineering: https://chbe.illinois.edu/
Materials Science &amp; Engineering: https://matse.illinois.edu/
Nuclear, Plasma &amp; Radiological Engineering (NPRE): https://npre.illinois.edu/
</t>
  </si>
  <si>
    <t xml:space="preserve">Selective separation chemistry (ligands, extractants, ion selectivity)
Electrochemical separations &amp; process intensification
Solid–liquid interface chemistry
Materials chemistry &amp; mineral substitution mechanisms
Radiological science &amp; radiation-safe experimentation
</t>
  </si>
  <si>
    <t xml:space="preserve">A. Ligand-Based &amp; Electrochemical Separations
Design of ion-selective ligands capable of discriminating trace elements in complex matrices
Coupling ligands with electrochemical driving forces to enable controlled separations
Proven applicability to dilute and heterogeneous feedstocks, conceptually analogous to radionuclides in phosphogypsum
B. Materials &amp; Mineral Chemistry
Research on ionic substitution in crystal lattices (e.g., how divalent ions substitute into calcium-based minerals)
Direct relevance to understanding radium incorporation in CaSO₄ (gypsum) and extractability limits
C. Radiological &amp; Safety Infrastructure
Through NPRE, UIUC supports radiation measurement, shielding, and safety protocols, enabling compliant TENORM research at lab scale
</t>
  </si>
  <si>
    <t xml:space="preserve">High relevance for solution development, specifically in the front end of the problem:
Phosphogypsum radionuclide reduction depends on selective separation at very low concentrations
UIUC can realistically support within 18–24 months:
Design and screening of radium-selective ligands
Bench-scale separation experiments on PG analogs
Electrochemical separation concepts compatible with scale-up partners (e.g., Valor, Phoenix Tailings)
UIUC is not a deployment partner, but it is one of the best U.S. universities for creating a new PG-specific separation pathway that others can pilot.
</t>
  </si>
  <si>
    <t xml:space="preserve">Valor startup lineage: Public reporting confirms Valor’s extraction technology was developed at UIUC before commercialization
Active research in chemical separations, electrochemistry, and materials chemistry
Strong culture of industry-linked, translational research with repeat spin-out success
</t>
  </si>
  <si>
    <t xml:space="preserve">UIUC has a robust technology transfer office experienced in:
Licensing separation chemistry
Structuring joint IP with startups and corporates
Likely ownership or co-ownership of foundational IP behind Valor’s platform
High probability of new, NutriCrops-specific IP emerging if PG radionuclide separation is pursued
</t>
  </si>
  <si>
    <t xml:space="preserve">Sponsored research &amp; joint development
Comfortable with:
Industry-funded R&amp;D
Co-development of IP
Feeding technologies into startups or industrial pilots
Not oriented toward operating pilots or field deployment
</t>
  </si>
  <si>
    <t xml:space="preserve">Needs explicit phosphogypsum framing to focus faculty effort
Radioactive material handling requires internal safety approvals
Any field application depends on:
Startup partners (Valor, Phoenix Tailings, DISA)
Disposal/regulatory actors (EPA, NRC-adjacent)
</t>
  </si>
  <si>
    <t xml:space="preserve">UIUC gives NutriCrops something few partners can:
The ability to invent a PG-specific separation solution, rather than adapting legacy methods
Credible, defensible science to underpin:
Pilot programs
Regulatory conversations
Venture or corporate partnerships
</t>
  </si>
  <si>
    <t xml:space="preserve">University of Illinois Urbana-Champaign | https://www.illinois.edu/
UIUC Chemical &amp; Biomolecular Engineering | https://chbe.illinois.edu/
UIUC Materials Science &amp; Engineering | https://matse.illinois.edu/
UIUC Nuclear, Plasma &amp; Radiological Engineering | https://npre.illinois.edu/
Valor startup origin article | https://resource-recycling.com/e-scrap/2025/09/18/ex-glencore-chief-starts-valor-to-refine-critical-metals/
EPA Phosphogypsum Overview | https://www.epa.gov/radiation/phosphogypsum
EPA TENORM Definition | https://www.epa.gov/radiation/technologically-enhanced-naturally-occurring-radioactive-materials-tenorm
</t>
  </si>
  <si>
    <t xml:space="preserve">If DISA reduces contaminated mass mechanically, and Phoenix/Valor handle scalable extraction, UIUC is where the missing chemistry gets created. In ecosystem terms, UIUC is a keystone discovery node—not optional if NutriCrops wants a differentiated, science-backed solution.
</t>
  </si>
  <si>
    <t>Kansas State University (Department of Agronomy; Department of Biological &amp; Agricultural Engineering; College of Agriculture)</t>
  </si>
  <si>
    <t>Kansas State University is one of the leading U.S. land-grant universities in soil science, fertilizer systems, nutrient efficiency, and applied agronomy, with a strong tradition of translating research into farmer-ready, policy-relevant outcomes. K-State’s work sits at the intersection of nutrient chemistry, soils, crop performance, and deployment at scale.
For Nutri-Crops, Kansas State is not a chemistry or radiochemistry hub; it is the deployment reality check — ensuring that PG-derived nutrients or soil amendments are effective, safe, agronomically viable, and context-appropriate.</t>
  </si>
  <si>
    <t>Manhattan, Kansas, USA</t>
  </si>
  <si>
    <t>https://www.k-state.edu/</t>
  </si>
  <si>
    <t>Soil chemistry and fertility
Fertilizer efficiency and nutrient use optimization
Phosphorus and secondary nutrient dynamics
Soil–water–nutrient interactions
Field-scale agronomic validation
Land-grant extension and deployment science</t>
  </si>
  <si>
    <t>Kansas State contributes through field-validated, deployment-oriented methods, including:
Soil and nutrient chemistry
Phosphorus availability and fixation
Interaction of nutrients with soil minerals
Fertilizer performance evaluation
Nutrient release rates
Uptake efficiency by crops
Field trials and applied agronomy
Controlled field experiments
Multi-season performance data
Extension-driven deployment logic
Translation of research into farmer-usable practices
Scaling insights to resource-constrained contexts</t>
  </si>
  <si>
    <t>Kansas State is highly relevant to PG because:
PG-derived products are only valuable if they perform agronomically
Regulatory and farmer acceptance depends on field evidence
Soil chemistry can amplify or suppress residual contaminants
K-State supports Nutri-Crops by:
Validating nutrient availability of PG-derived materials
Identifying soil-specific risks or constraints
Supporting safe, effective fertilizer deployment narratives</t>
  </si>
  <si>
    <t>Longstanding research leadership in:
Phosphorus management
Fertilizer efficiency
Soil health
Extensive field trial infrastructure
Strong engagement with:
USDA programs
State and federal agriculture initiatives
Active collaboration with:
Farmers
Extension services
Agricultural policymakers</t>
  </si>
  <si>
    <t>Outputs are primarily:
Agronomic performance data
Best-practice guidelines
Deployment frameworks
IP is typically practice- and method-based, not proprietary chemistry
High value for:
Regulatory support
Farmer adoption
International extension models</t>
  </si>
  <si>
    <t>Kansas State operates through:
Multi-university USDA- and NSF-funded research projects
Land-grant extension networks
Collaboration with:
Iowa State University
Purdue University
University of Illinois Urbana-Champaign
USDA Agricultural Research Service (ARS)
The culture emphasizes shared execution, farmer relevance, and applied outcomes, not siloed academic work.</t>
  </si>
  <si>
    <t>Depends on:
Upstream processing and contaminant removal (ORNL, UC Berkeley, Texas A&amp;M)
Clear definition of PG-derived product form
Does not handle radioactive materials
Not a process chemistry or separations hub</t>
  </si>
  <si>
    <t>Kansas State is valuable because it:
Grounds Nutri-Crops in real agriculture
Prevents technically elegant but agronomically weak solutions
Provides field-based credibility for regulators and farmers
Is highly relevant for Africa-facing nutrient deployment, where soils and resource constraints resemble land-grant focus areas</t>
  </si>
  <si>
    <t>Kansas State University: https://www.k-state.edu
Department of Agronomy: https://www.agronomy.k-state.edu
Biological &amp; Agricultural Engineering: https://bae.k-state.edu
College of Agriculture: https://www.agriculture.k-state.edu</t>
  </si>
  <si>
    <t>Kansas State should be positioned as a late-stage validation and deployment hub, engaged after PG-derived nutrient products are defined. It is critical for ensuring Nutri-Crops solutions translate into measurable yield, efficiency, and adoption outcomes, particularly for Global South agriculture.</t>
  </si>
  <si>
    <t>USDA (primary funder)
Fertilizer efficiency
Soil health
Nutrient management programs
NSF and state agriculture funding
Industry-sponsored fertilizer and agronomy research
Extension and applied research funding</t>
  </si>
  <si>
    <t>Oregon State University</t>
  </si>
  <si>
    <t>Oregon State University (OSU) is a leading U.S. land-grant university with internationally recognized expertise in soil science, water quality, nutrient cycling, environmental chemistry, and contaminant behavior in agro-ecosystems. OSU’s research emphasizes systems-level understanding and field-relevant deployment, particularly at the interface of agriculture, environment, and regulation.
For Nutri-Crops, OSU is not a radiochemical processing hub; it is a deployment-critical environmental validation partner, ensuring PG-derived materials behave safely and predictably in soil–water–crop systems.</t>
  </si>
  <si>
    <t>Corvallis, Oregon, USA</t>
  </si>
  <si>
    <t>https://oregonstate.edu/</t>
  </si>
  <si>
    <t>Soil chemistry and nutrient cycling
Water quality and contaminant transport
Environmental fate of trace elements
Agro-ecosystem sustainability
Soil–water–crop interaction modeling
Land-grant extension and applied research</t>
  </si>
  <si>
    <t>OSU contributes through field-relevant, systems-based approaches, including:
Soil and nutrient chemistry
Phosphorus dynamics and bioavailability
Interaction of nutrients with soil minerals
Water quality and contaminant transport
Leaching and runoff behavior
Nutrient–contaminant co-mobility
Environmental fate assessment
Long-term behavior of trace elements
Interaction with biological systems
Applied deployment science
Field trials and watershed-scale studies
Extension-driven validation</t>
  </si>
  <si>
    <t>OSU is highly relevant to PG because:
PG reuse depends on soil and water behavior, not just nutrient chemistry
Environmental regulators focus on leaching, runoff, and ecosystem impacts
Long-term sustainability requires system-level evidence
OSU supports Nutri-Crops by:
Validating environmental safety of PG-derived inputs
Identifying soil- and water-specific constraints
Strengthening regulatory and environmental acceptance</t>
  </si>
  <si>
    <t>Long-standing leadership in:
Soil and water science
Nutrient management
Environmental toxicology
Extensive field and watershed research infrastructure
Active engagement with:
USDA programs
Environmental agencies
Strong land-grant extension culture</t>
  </si>
  <si>
    <t>Outputs are primarily:
Environmental datasets
Fate and transport models
Best-practice deployment frameworks
IP is typically methods- and data-based, supporting:
Regulatory submissions
Environmental impact assessments</t>
  </si>
  <si>
    <t>OSU operates through:
Multi-university USDA and NSF research programs
Collaboration with:
UC Davis
Washington State University
Iowa State University
Kansas State University
Strong engagement with state and federal agencies
Culture emphasizes shared execution, field relevance, and environmental realism.</t>
  </si>
  <si>
    <t>Depends on:
Upstream PG processing and contaminant removal (ORNL, INL, UC Berkeley)
Clear definition of nutrient product form
Does not handle radioactive materials
Limited role in separation chemistry or process engineering</t>
  </si>
  <si>
    <t>OSU is valuable because it:
De-risks environmental and water-quality failure modes
Provides land-grant credibility for sustainability claims
Strengthens regulatory defensibility of PG reuse
Complements Kansas State and UC Davis with water-focused depth</t>
  </si>
  <si>
    <t>Oregon State University: https://oregonstate.edu
College of Agricultural Sciences: https://agsci.oregonstate.edu
College of Engineering: https://engineering.oregonstate.edu
Environmental &amp; Molecular Toxicology: https://emt.oregonstate.edu</t>
  </si>
  <si>
    <t>OSU should be positioned as a soil–water–environment validation hub, engaged after PG-derived nutrient products are defined and before or during large-scale deployment. It is particularly valuable where water quality and ecosystem impacts are regulatory or reputational risks.</t>
  </si>
  <si>
    <t>USDA (primary funder)
Soil health
Nutrient management
Water quality programs
NSF environmental systems funding
State and federal applied research grants
Extension and deployment-focused funding</t>
  </si>
  <si>
    <t>Purdue University-Agricultural Engineering, Precision Nutrients &amp; Deployment Systems</t>
  </si>
  <si>
    <t>Purdue University is one of the leading U.S. land-grant universities in agricultural and biological engineering, agronomy, soil and crop systems, and precision agriculture. Purdue is especially strong in engineering-driven agricultural systems, integrating nutrient chemistry, machinery, data analytics, and field deployment.
For Nutri-Crops, Purdue is a deployment-scaling partner — ensuring PG-derived nutrients and soil amendments can be applied efficiently, monitored quantitatively, and optimized for yield and resource efficiency, particularly in large-scale and data-poor farming contexts relevant to Africa.</t>
  </si>
  <si>
    <t>West Lafayette, Indiana</t>
  </si>
  <si>
    <t>https://www.purdue.edu/</t>
  </si>
  <si>
    <t>Agricultural and biological engineering
Precision agriculture and nutrient delivery
Soil–crop–nutrient systems
Data-driven agronomy and yield optimization
Farm-scale systems engineering
Deployment and extension science</t>
  </si>
  <si>
    <t>Purdue contributes through engineering- and data-centric deployment methods, including:
Precision nutrient delivery systems
Placement, timing, and rate optimization
Equipment-enabled efficiency
Soil–crop systems engineering
Interaction of nutrients with soil and root systems
Data-driven agronomy
Sensor- and model-based performance tracking
Systems optimization
Linking nutrient inputs to yield, water use, and efficiency
Scale-aware deployment
Farm-scale and region-scale validation</t>
  </si>
  <si>
    <t>Purdue is highly relevant to PG because:
PG-derived nutrients must be applied precisely to avoid inefficiency or risk
Large-scale deployment depends on engineering and data, not just chemistry
Purdue supports Nutri-Crops by:
Optimizing how PG-derived nutrients are applied
Demonstrating measurable yield and efficiency gains
Reducing environmental and economic risk through precision application</t>
  </si>
  <si>
    <t>Leadership in:
Precision agriculture research
Agricultural machinery and systems engineering
Nutrient management optimization
Extensive field research and testbed infrastructure
Strong engagement with:
USDA programs
Agricultural technology partners
Active translation of research into farmer-facing tools</t>
  </si>
  <si>
    <t>Produces:
Deployment technologies
Data-driven agronomic tools
Engineering methodologies
IP often takes the form of:
Applied technologies
Software and decision-support systems
High value for:
Scaling
Monitoring and evaluation</t>
  </si>
  <si>
    <t>Purdue operates through:
Multi-university USDA- and NSF-funded programs
Collaboration with:
Iowa State University
Kansas State University
University of Illinois Urbana-Champaign
Cornell University
Strong industry engagement in ag-tech and machinery
Culture emphasizes shared execution, engineering realism, and scalable impact.</t>
  </si>
  <si>
    <t>Depends on:
Upstream contaminant removal and nutrient formulation (ORNL, UC Berkeley, Texas A&amp;M)
Defined product form and target crops
Does not handle radioactive materials
Limited role in separation chemistry</t>
  </si>
  <si>
    <t>Purdue is valuable because it:
Translates nutrient products into measurable field performance
Enables efficient, scalable deployment
Reduces cost and environmental risk through precision
Is highly relevant for Africa-scale agriculture, where efficiency and monitoring are critical</t>
  </si>
  <si>
    <t>Purdue University: https://www.purdue.edu
College of Agriculture: https://ag.purdue.edu
College of Engineering: https://engineering.purdue.edu
Agricultural &amp; Biological Engineering: https://engineering.purdue.edu/ABE</t>
  </si>
  <si>
    <t>Purdue should be positioned as a late-stage deployment and optimization hub, engaged once PG-derived nutrient products are validated. Its strength lies in precision, scale, and measurement, making it a natural partner for UM6P GHUS to demonstrate real, quantifiable impact.</t>
  </si>
  <si>
    <t>USDA (primary funder)
Precision agriculture
Nutrient management
NSF engineering and data systems funding
Industry-sponsored ag-tech research
Extension and applied research funding</t>
  </si>
  <si>
    <t>University of California, Irvine</t>
  </si>
  <si>
    <t>The University of California, Irvine (UCI) is internationally recognized for its strength in actinide and lanthanide (f-element) chemistry, coordination chemistry, and molecular-level separation science. UCI’s work focuses on speciation, binding mechanisms, selectivity, and thermodynamics that underpin credible separation processes for complex matrices.
For Nutri-Crops, UCI serves as a first-principles chemistry anchor, ensuring that PG-related radionuclide removal and REE recovery strategies are chemically sound before scale-up.</t>
  </si>
  <si>
    <t>Irvine, California</t>
  </si>
  <si>
    <t>https://www.uci.edu/</t>
  </si>
  <si>
    <t>Actinide chemistry (U, Th, related species)
Lanthanide / rare earth element chemistry
Coordination and inorganic chemistry
Molecular selectivity and ligand design
Separation thermodynamics and speciation</t>
  </si>
  <si>
    <t>UCI contributes through molecular- and mechanism-level chemistry, including:
Speciation analysis
Oxidation states and aqueous behavior
Sulfate- and phosphate-rich system chemistry
Ligand and binding studies
Selectivity between radionuclides, REEs, and major ions (Ca, Mg)
Thermodynamic characterization
Stability constants and separation windows
Failure-mode identification
Conditions under which selectivity collapses</t>
  </si>
  <si>
    <t>UCI is highly relevant to PG because:
PG separation failures often stem from incorrect chemical assumptions
REEs and radionuclides exhibit similar chemistry in sulfate matrices
UCI supports Nutri-Crops by:
Validating whether selective separation is chemically feasible
Reducing risk of false-positive separation concepts
Enabling rational design of downstream ORNL / industry processes</t>
  </si>
  <si>
    <t>Sustained DOE Office of Science (Basic Energy Sciences) funding in f-element chemistry
Active collaboration with:
DOE national laboratories
Peer universities in actinide science
Publication leadership in:
Inorganic and actinide chemistry journals</t>
  </si>
  <si>
    <t>Produces:
Foundational chemical knowledge
Early-stage ligand concepts
IP is typically:
Pre-process
Early TRL
Designed to feed national labs and industry, not direct deployment</t>
  </si>
  <si>
    <t>UCI operates through:
Multi-university DOE-funded chemistry programs
Close collaboration with:
UC Berkeley
Florida State University
DOE national laboratories (e.g., ORNL, LANL)
Shared graduate training and joint publications
Culture emphasizes open, collaborative, chemistry-driven research.</t>
  </si>
  <si>
    <t>Requires:
Downstream partners for radiochemical handling and scale-up
Clear PG composition data
Does not handle bulk radioactive materials
Not an environmental or agricultural testing site</t>
  </si>
  <si>
    <t>UCI is valuable because it:
Prevents Nutri-Crops from scaling chemically flawed ideas
Clarifies selectivity limits early
Strengthens credibility with DOE and national-lab partners
Complements UC Berkeley and FSU by adding independent chemistry validation</t>
  </si>
  <si>
    <t>University of California, Irvine: https://www.uci.edu
UCI Department of Chemistry: https://www.chem.uci.edu</t>
  </si>
  <si>
    <t>UCI should be positioned as an upstream chemistry screening partner, engaged at the earliest stages of PG-related separation concept development. It is most powerful when paired with ORNL (execution) and MIT/NC State (safety and regulation).</t>
  </si>
  <si>
    <t>U.S. Department of Energy (Office of Science – Basic Energy Sciences)
Federal chemistry research grants
Multi-institution actinide and lanthanide research programs</t>
  </si>
  <si>
    <t>University of New Mexico</t>
  </si>
  <si>
    <t>The University of New Mexico (UNM) is a public R1 research university with nationally recognized strengths in nuclear engineering, radiochemistry, environmental engineering, earth and planetary sciences, and materials science. UNM is particularly well known for its work on naturally occurring radioactive materials (NORM), legacy uranium mining impacts, and environmental remediation in arid and semi-arid regions.
UNM’s research portfolio is deeply connected to real-world radioactive and mineral waste challenges, supported by long-standing engagement with DOE national laboratories, federal agencies, and regional industry. This makes UNM a strong applied academic partner bridging fundamental science, field studies, and deployment-oriented research.</t>
  </si>
  <si>
    <t>Albuquerque, New Mexico, USA</t>
  </si>
  <si>
    <t>https://www.unm.edu/</t>
  </si>
  <si>
    <t>Radiochemistry, nuclear engineering, environmental remediation, NORM management, earth and mineral sciences, and environmental transport modeling.
UNM is particularly relevant for:
Radium, uranium, and thorium behavior in soils and mineral matrices
Environmental fate and transport of radionuclides
Applied remediation strategies for radioactive and mining-impacted materials
Field-scale validation in arid environments</t>
  </si>
  <si>
    <t>Radiochemistry &amp; nuclear engineering
Analysis of radionuclide speciation, decay chains, and exposure pathways
Expertise relevant to Ra-226 and uranium-series radionuclides found in PG
Environmental fate &amp; transport modeling
Study of leaching, mobility, and long-term environmental behavior of radioactive constituents
Risk assessment under real climatic and soil conditions
Earth &amp; mineral sciences
Mineralogical and geochemical characterization of complex inorganic materials
Relevance to PG structure, stability, and transformation
Applied remediation &amp; field studies
Design and testing of remediation approaches for NORM and legacy mining wastes</t>
  </si>
  <si>
    <t>The University of New Mexico is highly relevant to phosphogypsum through its expertise in radiochemistry, NORM management, environmental fate and transport, and applied remediation, enabling realistic assessment of radionuclide mobility, exposure risk, and environmental safety of PG and PG-derived materials.</t>
  </si>
  <si>
    <t>Ongoing research on uranium- and radium-contaminated materials and legacy mining impacts
Active radiochemistry and nuclear engineering programs focused on environmental applications
Field-based studies on radionuclide transport, leaching, and long-term environmental risk
Regular collaboration with DOE labs and federal agencies on radioactive materials research</t>
  </si>
  <si>
    <t>UNM supports commercialization through STC.UNM (Science &amp; Technology Corporation @ UNM), which manages patents, licensing, and industry partnerships.
IP is typically method-, model-, and process-oriented, complementing national-lab-developed technologies.</t>
  </si>
  <si>
    <t>Strong history of collaboration with:
DOE national laboratories (Sandia, LANL, NETL)
Federal and state agencies
Regional industry and environmental stakeholders
Comfortable operating within multi-institution research consortia</t>
  </si>
  <si>
    <t>Best suited for applied research and field-informed validation, not large industrial pilots
Scale-up and commercialization depend on partnerships with national labs and industry
IP outcomes typically support, rather than anchor, full deployment pathways</t>
  </si>
  <si>
    <t>Provides environmentally realistic validation of PG treatment and reuse concepts
Deep expertise in NORM and radionuclide risk assessment, critical for agriculture and land-use decisions
Bridges laboratory science with field conditions and community-relevant impacts
Complements:
Discovery labs (LBNL, ORNL)
Engineering labs (Sandia, NETL)
Characterization hubs (Brookhaven)</t>
  </si>
  <si>
    <t>University of New Mexico – Official Website
https://www.unm.edu
Radiochemistry &amp; Nuclear Engineering
2. UNM Nuclear Engineering Program
https://nuclearengineering.unm.edu
UNM Radiochemistry &amp; Nuclear Chemistry Research
https://chemistry.unm.edu
Environmental &amp; Earth Sciences
4. UNM Earth &amp; Planetary Sciences
https://eps.unm.edu
UNM Environmental Engineering &amp; Risk Assessment
https://engineering.unm.edu
Technology Transfer
6. STC.UNM – Science &amp; Technology Corporation
https://stc.unm.edu</t>
  </si>
  <si>
    <t>UNM should be positioned as a Tier-1 applied academic partner for NutriCrops, anchoring environmental realism, radionuclide risk assessment, and field-informed validation, while national labs and industry partners lead scale-up and deployment.</t>
  </si>
  <si>
    <t>Supported through a mix of DOE, NSF, EPA, and state-funded research programs
Significant externally funded research portfolio in nuclear and environmental sciences</t>
  </si>
  <si>
    <t>University of Wyoming</t>
  </si>
  <si>
    <t>The University of Wyoming is a public R1 research university with nationally recognized strengths in geology, geochemistry, environmental engineering, hydrology, mining and mineral resources, and environmental remediation. UW has a long-standing research focus on extractive industries, large-scale mineral systems, and environmental impacts of mining and industrial byproducts, making it highly relevant to phosphogypsum challenges.
UW plays a central role in applied, field-oriented research, particularly in regions with legacy mining, energy production, and mineral waste issues, and maintains close collaboration with DOE laboratories, state agencies, and industry operators.</t>
  </si>
  <si>
    <t>Laramie, Wyoming, USA</t>
  </si>
  <si>
    <t>https://www.uwyo.edu/</t>
  </si>
  <si>
    <t>Geochemistry, mineralogy, environmental engineering, hydrology, contaminant fate and transport, mining and mineral waste management, and applied remediation.
UW is particularly relevant for:
Mineral and waste material characterization
Environmental behavior of contaminants (including radionuclides)
Large-volume industrial and mining byproducts
Field-scale validation and environmental monitoring</t>
  </si>
  <si>
    <t>Geochemistry &amp; mineralogy
Characterization of mineral matrices and trace constituents
Relevance to PG composition, stability, and transformation pathways
Environmental fate &amp; transport
Study of leaching, mobility, and dispersion of contaminants in soil and water
Applied modeling under real environmental conditions
Mining &amp; mineral waste systems
Research on mine tailings, slags, and industrial byproducts
Direct parallels to phosphogypsum scale and management challenges
Field-based remediation &amp; monitoring
Design and evaluation of remediation strategies
Long-term environmental monitoring and impact assessment</t>
  </si>
  <si>
    <t>The University of Wyoming is highly relevant to phosphogypsum through its expertise in mineral systems, contaminant fate and transport, environmental monitoring, and field-based remediation, enabling realistic assessment of PG stability, leaching risk, and environmental impact at scale.</t>
  </si>
  <si>
    <t>Active research on mining waste, tailings, and industrial mineral byproducts
Ongoing studies of contaminant transport in soil and groundwater, including trace metals and radionuclides
Field-based remediation and long-term environmental monitoring projects
Regular collaboration with DOE programs, state agencies, and industry operators</t>
  </si>
  <si>
    <t>UW supports commercialization through the UW Office of Technology Transfer, which manages patents, licensing, and industry-sponsored research.
IP tends to be method-, process-, and monitoring-oriented, complementing national-lab-developed technologies.</t>
  </si>
  <si>
    <t>Strong history of collaboration with:
DOE and national laboratories (NETL, PNNL, LBNL)
State geological surveys and regulators
Mining, energy, and mineral-processing companies
Comfortable operating in multi-partner, field-based research programs</t>
  </si>
  <si>
    <t>Not a primary scale-up or pilot engineering institution
Deployment depends on partnerships with national labs and industry
IP outputs usually support, rather than anchor, commercial deployment</t>
  </si>
  <si>
    <t>Brings field realism and environmental credibility to PG solutions
Strong expertise in large-volume mineral waste systems, analogous to PG stacks
Supports risk assessment and environmental safety validation critical for agriculture and land-use decisions
Complements:
Discovery labs (LBNL, ORNL)
Engineering labs (Sandia, NETL)
Characterization hubs (Brookhaven)</t>
  </si>
  <si>
    <t>University of Wyoming – Official Website
https://www.uwyo.edu
Geoscience, Mining &amp; Environmental Systems
2. UW Department of Geology &amp; Geophysics
https://www.uwyo.edu/geology
UW School of Energy Resources
https://www.uwyo.edu/ser
UW Environmental Engineering Program
https://www.uwyo.edu/engineering
Technology Transfer
5. UW Office of Technology Transfer
https://www.uwyo.edu/research/ott</t>
  </si>
  <si>
    <t>The University of Wyoming should be positioned as a Tier-1 field-validation and environmental risk partner for NutriCrops, anchoring real-world mineral behavior and environmental safety assessment, while national labs and industrial partners lead engineering scale-up and deployment.</t>
  </si>
  <si>
    <t>Research funded through DOE, NSF, EPA, USDA, and state programs
Significant externally funded portfolio in geoscience, environmental engineering, and mineral systems research</t>
  </si>
  <si>
    <t>University of Maryland</t>
  </si>
  <si>
    <t>The University of Maryland, College Park (UMD) is a public R1 research university and the flagship campus of the University System of Maryland. UMD is nationally and internationally recognized for its strengths in materials science, chemical and environmental engineering, nuclear engineering, earth system science, and environmental policy.
UMD operates at the intersection of science, engineering, and policy, with close ties to U.S. federal agencies (DOE, EPA, NRC, NIST) and national laboratories. This positioning makes UMD particularly valuable for challenges like phosphogypsum, where technical feasibility, environmental safety, and regulatory alignment must progress together.</t>
  </si>
  <si>
    <t>College Park, Maryland, USA</t>
  </si>
  <si>
    <t>https://www.umd.edu/</t>
  </si>
  <si>
    <t>Materials science, chemical and environmental engineering, nuclear engineering, environmental chemistry, earth system science, and science–policy interfaces.
UMD is particularly relevant for:
Radionuclide behavior in materials and environmental systems
Advanced materials and stabilization strategies
Environmental risk, exposure, and lifecycle assessment
Regulatory science and science-informed policy</t>
  </si>
  <si>
    <t>Materials science &amp; chemical engineering
Development and characterization of functional and structural materials
Relevance to PG stabilization, transformation, or reuse pathways
Environmental &amp; earth system science
Study of contaminant fate, transport, and exposure pathways
Modeling environmental impacts under real-world conditions
Nuclear engineering &amp; radiation science
Expertise in radiation effects, radionuclide behavior, and safety analysis
Policy-linked technical research
Integration of engineering findings with regulatory and policy frameworks</t>
  </si>
  <si>
    <t>The University of Maryland is highly relevant to phosphogypsum through its expertise in materials science, environmental fate and transport, nuclear and radiation science, and regulatory-aligned research, enabling credible assessment of PG stability, environmental risk, and policy feasibility.</t>
  </si>
  <si>
    <t>Ongoing research in materials stabilization and environmental materials
Active programs in environmental chemistry, earth systems, and contaminant modeling
Nuclear and radiation science research relevant to radionuclide safety and exposure
Regular engagement with federal agencies on environmental and regulatory science</t>
  </si>
  <si>
    <t>Commercialization supported through UM Ventures, which manages patents, licensing, startups, and industry partnerships.
IP strengths are typically materials-, process-, modeling-, and assessment-oriented, complementing national-lab and industrial IP.</t>
  </si>
  <si>
    <t>Extensive collaboration with:
Federal agencies (DOE, EPA, NRC, NIST)
DOE national laboratories
Industry and standards-setting bodies
Comfortable operating in multi-institution, policy-aware research consortia</t>
  </si>
  <si>
    <t>Not a primary pilot or demonstration operator
Scale-up depends on partnerships with national labs and industry
IP outcomes usually support broader deployment efforts rather than anchor them</t>
  </si>
  <si>
    <t>Bridges technical innovation and regulatory acceptance
Provides policy-aware validation essential for PG reuse and reform
Strengthens engagement with U.S. federal regulators and agencies
Complements:
Discovery labs (LBNL, ORNL)
Engineering labs (Sandia, NETL)
Field-validation universities (UNM, Wyoming)</t>
  </si>
  <si>
    <t>University of Maryland – Official Website
https://www.umd.edu
Materials, Environmental &amp; Nuclear Research
2. UMD Department of Materials Science &amp; Engineering
https://mse.umd.edu
UMD Department of Chemical &amp; Biomolecular Engineering
https://chbe.umd.edu
UMD Nuclear Engineering Program
https://nuclear.umd.edu
UMD Earth System Science Interdisciplinary Center (ESSIC)
https://essic.umd.edu
Technology Transfer &amp; Industry Engagement
6. UM Ventures – Technology Commercialization
https://umventures.org</t>
  </si>
  <si>
    <t>The University of Maryland should be positioned as a Tier-1 science–policy–materials partner for NutriCrops, strengthening technical credibility, environmental risk assessment, and regulatory alignment, while national labs and industry partners lead scale-up and deployment.</t>
  </si>
  <si>
    <t>Large externally funded research portfolio supported by DOE, NSF, EPA, NIH, and other federal agencies
Strong capacity for multi-year, multi-partner funded research programs</t>
  </si>
  <si>
    <t>University of Nevada, Reno</t>
  </si>
  <si>
    <t>The University of Nevada, Reno (UNR) is a public R1 research university with nationally recognized strengths in mining engineering, geosciences, environmental engineering, hydrology, materials science, and earth systems research. UNR is especially well known for its leadership in mineral resources, mine waste management, and environmental impacts of extractive industries, supported by deep engagement with industry and applied research programs.
UNR’s research portfolio is strongly oriented toward large-volume mineral systems, waste valorization, and environmental performance, making it highly relevant to phosphogypsum challenges, which share scale, composition, and regulatory complexity with mining and mineral byproducts.</t>
  </si>
  <si>
    <t>Reno, Nevada, USA</t>
  </si>
  <si>
    <t>https://www.unr.edu/</t>
  </si>
  <si>
    <t>Mining and mineral processing, geochemistry, environmental engineering, hydrology, contaminant fate and transport, mine waste management, and applied remediation.
UNR is particularly relevant for:
Large-volume mineral byproducts and wastes
Geochemical behavior of trace contaminants, including radionuclides
Environmental risk and water–soil interactions
Field-scale testing and validation</t>
  </si>
  <si>
    <t>Mining &amp; mineral systems engineering
Characterization and processing of mineral residues and industrial byproducts
Direct parallels to PG generation and handling
Geochemistry &amp; contaminant behavior
Study of trace metals and radionuclide behavior in mineral matrices
Assessment of leaching and mobility under environmental conditions
Hydrology &amp; environmental engineering
Modeling contaminant transport in soil and groundwater
Relevance to PG stack stability and environmental risk
Field-based validation &amp; monitoring
Pilot field studies and long-term monitoring of remediation strategies</t>
  </si>
  <si>
    <t>The University of Nevada, Reno is highly relevant to phosphogypsum through its expertise in mining and mineral waste systems, geochemistry, hydrology, and field-based environmental validation, enabling realistic assessment of PG stability, leaching risk, and environmental impact at scale.</t>
  </si>
  <si>
    <t>Active research on mine tailings, mineral wastes, and industrial byproducts
Ongoing studies of contaminant transport in groundwater and soils, including trace metals and radionuclides
Field-scale remediation and environmental monitoring projects
Strong engagement with mining and mineral-processing industries</t>
  </si>
  <si>
    <t>Commercialization supported through the UNR Innevation Center, which manages patents, licensing, startups, and industry-sponsored research.
IP tends to be process-, monitoring-, and system-oriented, complementing national-lab and industrial IP.</t>
  </si>
  <si>
    <t>UNR routinely works through industry-sponsored research agreements, federally funded applied research programs, and multi-partner field projects, making it well suited for field validation, environmental performance assessment, and industry-aligned deployment preparation for phosphogypsum-related solutions.</t>
  </si>
  <si>
    <t>Not a primary scale-up or demonstration engineering institution
Deployment depends on partnerships with national labs and industry
IP outcomes typically support broader deployment pathways</t>
  </si>
  <si>
    <t>Brings real-world mining and mineral systems expertise directly applicable to PG
Enables field-informed validation and environmental risk assessment
Strong industry ties in mineral and extractive sectors
Complements:
Discovery labs (LBNL, ORNL)
Engineering labs (Sandia, NETL)
Field-validation partners (Wyoming, UNM)</t>
  </si>
  <si>
    <t>University of Nevada, Reno – Official Website
https://www.unr.edu
Mining, Geoscience &amp; Environmental Research
2. UNR Mackay School of Earth Sciences &amp; Engineering
https://www.unr.edu/mining
UNR Department of Geological Sciences &amp; Engineering
https://www.unr.edu/geology
UNR Environmental Engineering Program
https://www.unr.edu/engineering
Technology Transfer &amp; Industry Engagement
5. UNR Innevation Center
https://innevation.unr.edu</t>
  </si>
  <si>
    <t>The University of Nevada, Reno should be positioned as a Tier-1 applied mining and mineral systems partner for NutriCrops, anchoring large-volume waste realism, field validation, and environmental safety assessment, while national labs and industrial partners lead engineering scale-up and deployment.</t>
  </si>
  <si>
    <t>Research funded through DOE, NSF, USDA, EPA, state programs, and industry-sponsored projects
Strong externally funded portfolio in mining, geoscience, and environmental systems</t>
  </si>
  <si>
    <t>University of Delaware</t>
  </si>
  <si>
    <t>The University of Delaware (UD) is a public R1 research university with internationally recognized strengths in chemical engineering, materials science, environmental engineering, catalysis, and sustainability science. UD is particularly well known for its leadership in materials-by-design, separations science, and process engineering, supported by strong industry collaboration and translational research programs.
UD’s research portfolio sits at the interface of advanced materials, chemical processes, and environmental systems, making it highly relevant for phosphogypsum treatment, transformation, and valorization, especially where selective separations, materials durability, and process optimization are required.</t>
  </si>
  <si>
    <t>Newark, Delaware, USA</t>
  </si>
  <si>
    <t>https://www.udel.edu/</t>
  </si>
  <si>
    <t>Chemical engineering, separations science, materials science, catalysis, environmental engineering, and process systems engineering.
UD is particularly relevant for:
Selective separations and capture materials
Chemical and materials-based PG treatment pathways
Process optimization and systems integration
Durability and performance of engineered materials</t>
  </si>
  <si>
    <t>Separations science &amp; chemical engineering
Development of selective materials, membranes, and processes
Direct relevance to radionuclide and impurity separation from PG-derived streams
Materials science &amp; durability testing
Design and characterization of functional and structural materials
Performance testing under chemical and environmental stress
Catalysis &amp; chemical transformation
Catalytic and chemical routes for transforming inorganic materials
Relevance to PG conversion and valorization
Process systems engineering
Modeling, optimization, and scale-up logic for chemical processes</t>
  </si>
  <si>
    <t>The University of Delaware is highly relevant to phosphogypsum through its strengths in separations science, materials engineering, and chemical process optimization, enabling development and validation of selective, scalable PG treatment and valorization pathways.</t>
  </si>
  <si>
    <t>Active research in advanced separations and functional materials
Ongoing DOE- and industry-funded projects in chemical and environmental process engineering
Strong track record of industry co-development and translational research</t>
  </si>
  <si>
    <t>Commercialization supported through UD’s Office of Economic Innovation &amp; Partnerships (OEIP), managing patents, licensing, startups, and industry-sponsored research.
Strong record of industry co-development and translational IP.</t>
  </si>
  <si>
    <t>UD has a deep, industry-integrated collaboration model, particularly in chemical, materials, and process engineering, with named partners including:
Industry Partners
DuPont (long-standing collaboration in materials and chemical processes)
Chemours
Dow
W. L. Gore &amp; Associates
3M
(These partnerships focus on materials design, separations, and chemical process optimization—directly relevant to PG treatment pathways.)</t>
  </si>
  <si>
    <t>Not a primary pilot or demonstration facility
Scale-up requires applied engineering labs and industrial operators
IP typically feeds into broader industrial deployment pathways</t>
  </si>
  <si>
    <t>Provides process-ready chemistry and materials innovations
Strong industry translation capability via long-standing corporate partnerships
De-risks PG solutions before pilot-scale investment
Complements:
Discovery labs (LBNL, ORNL)
Engineering labs (Sandia, NETL)
Field validation universities (Wyoming, UNR)</t>
  </si>
  <si>
    <t>University of Delaware – Official Website
https://www.udel.edu
Chemical Engineering, Materials &amp; Separations
2. UD Department of Chemical &amp; Biomolecular Engineering
https://cbe.udel.edu
UD Department of Materials Science &amp; Engineering
https://mse.udel.edu
Technology Transfer &amp; Industry Engagement
4. Office of Economic Innovation &amp; Partnerships (OEIP)
https://oeip.udel.edu</t>
  </si>
  <si>
    <t>The University of Delaware should be positioned as a Tier-1 chemical and materials innovation partner for NutriCrops, anchoring separations, process design, and industry-ready chemistry, while national labs and industrial partners lead scale-up and deployment.</t>
  </si>
  <si>
    <t>Large externally funded research portfolio supported by DOE, NSF, industry, and state programs
Strong industry-sponsored research base in chemical and materials engineering</t>
  </si>
  <si>
    <t>University of Alabama- Center for Materials for Information Technology</t>
  </si>
  <si>
    <t>The Center for Materials for Information Technology (MINT) at the University of Alabama is a nationally recognized interdisciplinary research center specializing in advanced materials synthesis, processing, and characterization, with deep expertise in structure–property relationships of complex materials.
While originally established with strengths in magnetic, electronic, and functional materials, MINT has evolved into a broad materials science platform with strong relevance to industrial byproducts, composite materials, and durability testing—key elements for phosphogypsum (PG) valorisation pathways.
MINT’s value to NutriCrops lies not in PG treatment itself, but in validating material performance, stability, and safety of PG-derived products.</t>
  </si>
  <si>
    <t>Tuscaloosa, Alabama, USA
Embedded within the University of Alabama’s College of Engineering and materials research ecosystem</t>
  </si>
  <si>
    <t>https://mint.ua.edu</t>
  </si>
  <si>
    <t>Advanced materials synthesis and processing
Structural and functional materials characterization
Composite and hybrid material systems
Mechanical, thermal, and chemical durability testing
Structure–property relationship analysis</t>
  </si>
  <si>
    <t>High-resolution materials characterization, including:
X-ray diffraction (XRD)
Electron microscopy
Spectroscopic techniques
Mechanical and thermal performance testing of solid materials
Composite formulation and optimization, relevant for:
PG-based construction materials
Cementitious or encapsulated PG products
Long-term stability and degradation studies
These capabilities are critical for determining whether treated PG materials are fit-for-use, not just technically feasible.</t>
  </si>
  <si>
    <t>Phosphogypsum (PG)
MINT does not treat PG chemically
Instead, it supports:
Post-treatment material validation
Performance testing of PG-derived products
Assessment of durability, strength, and stability
Essential for:
Construction material applications
Encapsulation strategies
Industrial reuse pathways
Radioactive Elements (NORM)
MINT is not a radiochemistry or radiation-measurement center
However, it can:
Assess structural immobilization effectiveness
Support materials-based containment strategies once radiological criteria are defined upstream</t>
  </si>
  <si>
    <t>Active interdisciplinary research programs in:
Advanced functional and structural materials
Materials processing and scale-relevant fabrication
Ongoing use of:
State-of-the-art characterization infrastructure
Industry-relevant testing protocols
Engagement with:
Federal research funding agencies (NSF, DOE)
Industry-facing materials research collaborations
While MINT does not publicly list PG-specific projects, its toolkit directly supports validation of PG-derived materials, especially for construction and infrastructure use.</t>
  </si>
  <si>
    <t>University-generated IP in:
Materials processing
Composite systems
Functional material design
IP relevance is indirect, enabling downstream product qualification rather than core PG processing</t>
  </si>
  <si>
    <t>Industry-compatible and applied-research oriented
Well-suited for:
Joint testing programs
Materials validation for startups and industrial partners
Works best when paired with:
Upstream PG treatment and radiological science partners</t>
  </si>
  <si>
    <t>Requires pre-treated or formulated PG materials
Depends on:
Upstream radiological clearance
Defined end-use specifications (construction, infrastructure, etc.)</t>
  </si>
  <si>
    <t>Provides independent, university-based validation of PG-derived materials
De-risks deployment by answering:
“Will this material actually perform safely and durably?”
Strengthens regulator and industry confidence
Complements:
National labs (science &amp; radiation)
Startups (conversion &amp; scale-up)</t>
  </si>
  <si>
    <t>University of Alabama – MINT Center:
https://mint.ua.edu
University of Alabama – College of Engineering:
https://engineering.ua.edu</t>
  </si>
  <si>
    <t>MINT should be positioned as a materials qualification and performance-validation node within the NutriCrops ecosystem. Its role is critical for turning treated phosphogypsum into regulator-acceptable, market-ready materials, particularly in construction and infrastructure applications.</t>
  </si>
  <si>
    <t xml:space="preserve">Michigan State University  </t>
  </si>
  <si>
    <t>University of Minnesota – Twin Cities</t>
  </si>
  <si>
    <t>The University of Minnesota – Twin Cities is a public R1 research university and one of the leading U.S. institutions in materials science, chemical engineering, environmental engineering, civil engineering, and applied sustainability research. UMN is particularly well known for its strengths in functional materials, inorganic chemistry, environmental remediation, and infrastructure materials, supported by strong industry engagement and translational research programs.
UMN’s research portfolio spans materials discovery through applied validation, with deep experience in large-scale material systems, environmental performance, and durability—capabilities that map directly to phosphogypsum treatment, stabilization, and reuse pathways.</t>
  </si>
  <si>
    <t>Minneapolis–St. Paul (Twin Cities), Minnesota, USA</t>
  </si>
  <si>
    <t>https://twin-cities.umn.edu/</t>
  </si>
  <si>
    <t>Materials science, chemical engineering, environmental engineering, inorganic chemistry, civil and infrastructure materials, and sustainability systems.
UMN is particularly relevant for:
Stabilization and transformation of inorganic materials
Environmental remediation and contaminant immobilization
Durability and lifecycle performance of construction and functional materials
Large-volume materials reuse and circular economy pathways</t>
  </si>
  <si>
    <t>Materials science &amp; inorganic chemistry
Design and characterization of inorganic and composite materials
Relevance to PG stabilization, encapsulation, and reuse
Environmental engineering &amp; remediation
Development of materials and processes for contaminant immobilization
Study of leaching behavior and long-term environmental performance
Civil &amp; infrastructure materials
Testing PG-derived materials for use in construction and infrastructure
Durability, mechanical performance, and lifecycle assessment
Sustainability &amp; systems analysis
Lifecycle and environmental impact assessment of materials pathways</t>
  </si>
  <si>
    <t>The University of Minnesota – Twin Cities is highly relevant to phosphogypsum through its strengths in materials science, environmental remediation, and infrastructure materials, enabling development and validation of durable, environmentally safe PG stabilization and reuse pathways.</t>
  </si>
  <si>
    <t>Active research in inorganic and composite materials for environmental and infrastructure use
Ongoing projects in environmental remediation and contaminant immobilization
Strong focus on materials durability, lifecycle performance, and sustainability
Regular collaboration with industry and federal agencies on applied materials research</t>
  </si>
  <si>
    <t>Commercialization supported through UMN Office for Technology Commercialization (OTC), managing patents, licensing, startups, and industry-sponsored research.
Strong record of materials and process IP transitioning to industry partners.</t>
  </si>
  <si>
    <t>UMN has a strong industry-facing and applied collaboration model, particularly in materials, chemicals, and infrastructure systems, with named partners including:
Industry Partners
3M
Cargill
Honeywell
Dow
Ecolab (These collaborations focus on materials, chemicals, environmental systems, and large-scale industrial processes—directly relevant to PG reuse and stabilization.)</t>
  </si>
  <si>
    <t>Not a primary pilot or demonstration operator
Scale-up depends on applied engineering labs and industrial partners
IP typically supports broader industrial deployment rather than anchoring it</t>
  </si>
  <si>
    <t>Enables materials-based PG reuse and stabilization pathways
Strong expertise in durability and lifecycle performance, critical for regulatory confidence
Deep industry ties in chemicals, materials, and infrastructure sectors
Complements:
Discovery labs (LBNL, ORNL)
Engineering labs (Sandia, NETL)
Field-validation universities (Wyoming, UNR)</t>
  </si>
  <si>
    <t>University of Minnesota – Twin Cities – Official Website
https://twin-cities.umn.edu
Materials, Chemical &amp; Environmental Research
2. UMN Department of Chemical Engineering &amp; Materials Science
https://cems.umn.edu
UMN Department of Civil, Environmental, and Geo-Engineering
https://cege.umn.edu
UMN College of Science &amp; Engineering – Materials &amp; Sustainability
https://cse.umn.edu
Technology Transfer &amp; Industry Engagement
5. UMN Office for Technology Commercialization (OTC)
https://innovation.umn.edu</t>
  </si>
  <si>
    <t>The University of Minnesota – Twin Cities should be positioned as a Tier-1 materials and reuse partner for NutriCrops, anchoring PG stabilization, durability testing, and reuse validation, while national labs and industrial partners lead engineering scale-up and deployment.</t>
  </si>
  <si>
    <t>Large externally funded research portfolio supported by DOE, NSF, EPA, USDA, and industry sponsors
Strong capacity for multi-year, multi-partner applied research programs</t>
  </si>
  <si>
    <t>PG System Knowledge and Radiochemistry</t>
  </si>
  <si>
    <t>Florida Polytechnic University - Florida Industrial &amp; Phosphate Research Institute (FIPR)</t>
  </si>
  <si>
    <t>Support research organizations dedicated to: Enhancing the efficiency and sustainability of phosphate mining and processing, Addressing environmental, engineering, and health concerns related to phosphate operations, Supporting Florida's economy through innovation, education, and collaboration.</t>
  </si>
  <si>
    <t>Lakeland, Florida, USA</t>
  </si>
  <si>
    <t xml:space="preserve">https://floridapoly.edu/research/institutes/fipr/ </t>
  </si>
  <si>
    <t>Mining &amp; Beneficiation (Mineral Processing) Chemical Processing &amp; Phosphogypsum</t>
  </si>
  <si>
    <t>Efficiency and sustainability in phosphate extraction and beneficiation
Engineering solutions to reduce environmental impacts (waste, water use, emissions)
Health and safety risk management in phosphate operations
Innovation and research to support Florida’s phosphate industry and economy</t>
  </si>
  <si>
    <t>FIPR is relevant to phosphogypsum because studying and finding better ways to manage or reuse phosphogypsum is a direct part of their research mission in phosphate chemical processing and environmental stewardship. This work supports better industry practices, informs regulators, and can create new beneficial uses for a by-product that has traditionally been stored as waste.</t>
  </si>
  <si>
    <t xml:space="preserve">The official FIPR Institute maintains of over 200 technical  publications covering chemical and phosphogypsum, mineral processsing, reclamation, and envirenmental issues. </t>
  </si>
  <si>
    <t xml:space="preserve">Has been ranked among the Top 20 universities in the nation for return on investment (FOI), outperforming some of the country's most  prestigious institutions according to a new analysis by ED smart, a pubilsher of data-driven college ratings. Reference: https://www.edsmart.org/elite-alternatives/  FPU – Hosts panel events on phosphate/phosphogypsum; faculty research reuse and rare earth elements. Strong potential collaborator. Useful for feasibility validation and early-stage de-risking. </t>
  </si>
  <si>
    <t>The Phosphate Research Trust Fund</t>
  </si>
  <si>
    <t>Florida State University (FSU)</t>
  </si>
  <si>
    <t>The Department of Earth, Ocean, and Atmospheric Science (EOAS) conducts research and offers instruction in the fields of Environmental Science, Geology, Oceanography, and Meteorology. The Department’s goals are to contribute to scientific knowledge by conducting world‐class research, and to be a source of information for the public and decision makers.</t>
  </si>
  <si>
    <t>Tallahassee, FL, USA</t>
  </si>
  <si>
    <t>https://www.eoas.fsu.edu</t>
  </si>
  <si>
    <t xml:space="preserve">Environmental radiochemistry &amp; measurement (radon/radium in environmental systems; field sampling + lab analysis) with demonstrated PG-stack relevance. Radionuclide capture/separations materials science (actinide science; engineered materials to capture radionuclides in legacy waste streams) via CAST. </t>
  </si>
  <si>
    <t>PG/stack pathway characterization + geochemical modeling: analysis of stack fluids, groundwaters, and soils associated with gypsum stacks; geochemical modeling to understand release/migration of radionuclides from phosphogypsum. - Radon/radium measurement capability: EOAS notes a “full array of equipment for investigating radon and radium in the environment. -Radionuclide-capture materials (CAST): development/optimization of materials that capture radionuclides from complex waste solutions; CAST overview frames this as materials design + characterization + theory.</t>
  </si>
  <si>
    <t xml:space="preserve">Direct relevance (verification + pathway control): FSU’s published PG work is explicitly about radionuclide release/migration from phosphogypsum stacks, which aligns with NutriCrops’ need to prove “clean fraction” claims and manage the “hot fraction” pathway risks.
Indirect but valuable (hot fraction treatment concepts): CAST’s radionuclide capture/separations focus is highly relevant to capturing problematic radionuclides once they’re concentrated into a smaller stream/fraction (your hot-fraction logic).
</t>
  </si>
  <si>
    <t xml:space="preserve">FSU EOAS capability statement: equipment available for investigating radon and radium (suggests ongoing departmental capability even post-retirement of specific faculty).
PG-specific research evidence: Burnett et al. paper documents PG stack-fluid/groundwater/soil analysis + geochemical modeling as the study approach.
CAST is an active DOE-funded research center: FSU Arts &amp; Sciences describes DOE funding/extensions and mission (nuclear waste cleanup / fuel cycle); CAST overview details radionuclide capture materials work.
</t>
  </si>
  <si>
    <t xml:space="preserve">EOAS/Environmental radiochemistry side: primarily measurement, field methods, analytical protocols, and modeling (generally not “product IP,” but high value for verification and regulator-facing evidence).
CAST side: positioned as technology development for radionuclide capture; EFRC programs frequently generate publishable materials platforms and may generate protectable IP, though IP specifics would need confirmation via CAST/FSU tech transfer.
</t>
  </si>
  <si>
    <t xml:space="preserve">Best-fit role:
Verification partner for “clean bulk fraction” claims (sampling plans, Ra/Rn measurement, fate/transport, geochemical modeling).
Hot-fraction R&amp;D partner (CAST) for capture materials/separations concepts applicable after concentration of radionuclides.
Collaboration mode: joint applied research + method validation; can be structured as (i) field/bench verification workstream (EOAS-linked) and (ii) selective capture materials/separations workstream (CAST/Chemistry-linked).
</t>
  </si>
  <si>
    <t xml:space="preserve">FSU strengthens NutriCrops’ scientific foundation by providing expertise in radium measurement, environmental fate, and radionuclide capture materials, ensuring that decontamination claims are technically defensible.
</t>
  </si>
  <si>
    <t xml:space="preserve">Primary alignment: Radiation risk management and scientific defensibility.
Radium/Radon Measurement:
Ensures reliable quantification of radioactive risk.
Environmental Fate &amp; Transport:
Supports understanding of residual risk in treated materials.
Hot-Fraction Capture Science:
CAST contributes to selective radionuclide capture concepts.
Verification Frameworks:
Supports long-term monitoring and compliance regimes.
Limitations:
Limited involvement in industrial-scale process design.
Overall Assessment:
FSU is the radiological credibility and risk-control backbone.
</t>
  </si>
  <si>
    <t>University of Florida (UF)</t>
  </si>
  <si>
    <t>The University of Florida is a major public research university with strong programs in environmental engineering, materials science, geochemistry, and sustainable infrastructure. Within UF, faculty such as Dr. Timothy G. Townsend work in the Sustainable Materials Management Research Laboratory, addressing phosphogypsum and other solid waste sustainability issues; broader UF groups also engage in environmental radiochemistry and related work.</t>
  </si>
  <si>
    <t>Gainesville, FL, USA</t>
  </si>
  <si>
    <t>https://faculty.eng.ufl.edu/timothy-townsend/</t>
  </si>
  <si>
    <t xml:space="preserve">Phosphogypsum characterization: Investigating physical, chemical, and environmental behavior of PG — including trace metals and radionuclide leachability, material properties for reuse, and implications for sustainable materials applications.
Sustainable materials reuse frameworks: Exploring how PG and other residues can be evaluated for use in construction materials (asphalt, concrete) while understanding environmental and health constraints.
</t>
  </si>
  <si>
    <t>UF research is directly relevant to understanding the environmental behavior of PG — including key parameters like radionuclide leaching and potential beneficial uses — which is foundational for designing bulk decontamination, verification, and reuse strategies.</t>
  </si>
  <si>
    <t xml:space="preserve">Phosphogypsum research page: UF Sustainable Materials Management Research Laboratory (Dr. Timothy G. Townsend) has an active page discussing PG as part of broader waste issues and potential reuse research.
Published leachability work: Academic work produced from UF graduate research (e.g., leaching studies of PG) shows long-standing academic interest in PG’s environmental behavior — a necessary scientific underpinning for decontamination/clean fraction validation work.
Public reporting involvement: UF faculty have been publicly engaged as scientific collaborators on Florida phosphogypsum reuse/road pilot contexts in local environmental reporting, implying ongoing field linkag
</t>
  </si>
  <si>
    <t xml:space="preserve">UF’s work on phosphogypsum to date has been mostly academic and applied research, rather than proprietary technologies or patented IP. Many outputs are in the form of environmental studies, material characterizations, and sustainability analyses rather than discrete process technologies or products.
However, foundational knowledge (e.g., radionuclide leach behavior, material properties) is critical baseline evidence for technologies that will be developed later in NutriCrops flowsheets.
</t>
  </si>
  <si>
    <t xml:space="preserve">Best fit for NutriCrops:
Environmental characterization → support PF-specific data, mass balance, radionuclide mobility studies
Verification science → controlled leaching/radon flux / pathway analysis as part of clean fraction validation
Materials reuse insight → performance of PG (or treated PG) in candidate industrial uses (e.g., road base, aggregates) from an environmental perspective
Collaboration mode:
Joint academic/industry research projects
Field sampling and laboratory test plans
Student/postdoc support embedded in NutriCrops workstreams
Independent verification and QA/QC contributions
</t>
  </si>
  <si>
    <t>UF provides independent, field-relevant validation and materials performance expertise needed to demonstrate that treated phosphogypsum is safe and suitable for commercial use.</t>
  </si>
  <si>
    <t xml:space="preserve">Primary alignment: Product safety validation and market/regulatory acceptance.
Clean Fraction Verification:
UF’s environmental testing expertise supports proof that treated PG meets safety thresholds.
Reuse Performance Assessment:
Evaluates treated PG in infrastructure/materials contexts (roads, construction).
Regulatory &amp; Public Acceptance Risk:
Provides defensible data for regulators, buyers, and communities.
Field Relevance:
Embedded in Florida’s phosphate ecosystem, enabling realistic validation.
Limitations:
Not a primary developer of new separation chemistry.
Overall Assessment:
UF is NutriCrops’ validation and credibility anchor for large-scale deployment.
</t>
  </si>
  <si>
    <t>Clean Fraction /Hot Fraction Separations at Scale</t>
  </si>
  <si>
    <t>Pennsylvania State University</t>
  </si>
  <si>
    <r>
      <t>Penn State is a large R1 public research university (main campus: </t>
    </r>
    <r>
      <rPr>
        <b/>
        <sz val="12"/>
        <color rgb="FF000000"/>
        <rFont val="Calibri"/>
        <family val="2"/>
        <scheme val="minor"/>
      </rPr>
      <t>University Park, Pennsylvania, USA</t>
    </r>
    <r>
      <rPr>
        <sz val="12"/>
        <color rgb="FF000000"/>
        <rFont val="Calibri"/>
        <family val="2"/>
        <scheme val="minor"/>
      </rPr>
      <t>) with strong capability in </t>
    </r>
    <r>
      <rPr>
        <b/>
        <sz val="12"/>
        <color rgb="FF000000"/>
        <rFont val="Calibri"/>
        <family val="2"/>
        <scheme val="minor"/>
      </rPr>
      <t>chemical engineering separations</t>
    </r>
    <r>
      <rPr>
        <sz val="12"/>
        <color rgb="FF000000"/>
        <rFont val="Calibri"/>
        <family val="2"/>
        <scheme val="minor"/>
      </rPr>
      <t>, </t>
    </r>
    <r>
      <rPr>
        <b/>
        <sz val="12"/>
        <color rgb="FF000000"/>
        <rFont val="Calibri"/>
        <family val="2"/>
        <scheme val="minor"/>
      </rPr>
      <t>critical minerals recovery from waste streams</t>
    </r>
    <r>
      <rPr>
        <sz val="12"/>
        <color rgb="FF000000"/>
        <rFont val="Calibri"/>
        <family val="2"/>
        <scheme val="minor"/>
      </rPr>
      <t>, and </t>
    </r>
    <r>
      <rPr>
        <b/>
        <sz val="12"/>
        <color rgb="FF000000"/>
        <rFont val="Calibri"/>
        <family val="2"/>
        <scheme val="minor"/>
      </rPr>
      <t>systems-level techno-economic / life cycle assessment</t>
    </r>
    <r>
      <rPr>
        <sz val="12"/>
        <color rgb="FF000000"/>
        <rFont val="Calibri"/>
        <family val="2"/>
        <scheme val="minor"/>
      </rPr>
      <t>. Penn State is an active collaborator on NSF-funded work explicitly targeting </t>
    </r>
    <r>
      <rPr>
        <b/>
        <sz val="12"/>
        <color rgb="FF000000"/>
        <rFont val="Calibri"/>
        <family val="2"/>
        <scheme val="minor"/>
      </rPr>
      <t>phosphogypsum processing</t>
    </r>
    <r>
      <rPr>
        <sz val="12"/>
        <color rgb="FF000000"/>
        <rFont val="Calibri"/>
        <family val="2"/>
        <scheme val="minor"/>
      </rPr>
      <t> (including challenges linked to radioactive species) and houses the </t>
    </r>
    <r>
      <rPr>
        <b/>
        <sz val="12"/>
        <color rgb="FF000000"/>
        <rFont val="Calibri"/>
        <family val="2"/>
        <scheme val="minor"/>
      </rPr>
      <t>Center for Critical Minerals (C²M)</t>
    </r>
    <r>
      <rPr>
        <sz val="12"/>
        <color rgb="FF000000"/>
        <rFont val="Calibri"/>
        <family val="2"/>
        <scheme val="minor"/>
      </rPr>
      <t>, which is structured for industry-facing collaboration and translation. </t>
    </r>
  </si>
  <si>
    <t>State College, PA, USA</t>
  </si>
  <si>
    <t>https://www.c2m.psu.edu</t>
  </si>
  <si>
    <t xml:space="preserve">Separation science &amp; engineered membranes for complex, dilute mixtures (incl. REE separation challenges).
Waste-to-resource / critical minerals recovery (C²M) with a pathway toward pilot-scale translation.
Systems evaluation (TEA/LCA) to quantify feasibility and guide design choices.
</t>
  </si>
  <si>
    <t xml:space="preserve">Extraction from phosphogypsum via chemical digestion,
Electrodialysis to separate from anions and concentrate, and
Selective separation using peptide-functionalized membranes; plus supporting methods like X-ray absorption spectroscopy, modeling/ML-guided peptide design, and TEA/LCA to inform design iterations.
</t>
  </si>
  <si>
    <t>Direct. Penn State is a funded participant in an NSF project focused on recovering materials from phosphogypsum, explicitly noting that the source is “untapped due to challenges associated with radioactive species” and proposing separations tailored to that matrix.
They also have Penn State research outputs specifically analyzing PG processing economics/sustainability (TEA/LCA).</t>
  </si>
  <si>
    <t xml:space="preserve">NSF-funded collaboration (with Case Western + Clemson) to develop separations for phosphogypsum processing; Penn State effort led by named chemical engineering faculty.
C²M pilot-scale translation orientation: the Center received $2.1M federal funding to design/build/test a modular pilot-scale R&amp;D unit for recovering REEs/critical minerals from environmental sources (not PG-specific, but strong “scale translation” signal).
PG-specific doctoral / publication pipeline: Penn State has recent PG-focused research (e.g., doctoral work and peer-reviewed sustainability assessment for REE recovery from PG).
</t>
  </si>
  <si>
    <t xml:space="preserve">The NSF program is oriented toward new separation mechanisms/materials (peptide-functionalized membranes) which are typical IP-generating areas in separations.
C²M’s mission emphasizes being a “premier technical and research support partner” for companies developing commercial critical materials projects—i.e., an applied commercialization posture.
</t>
  </si>
  <si>
    <t xml:space="preserve">Multi-university NSF collaboration structure (Penn State + Case Western + Clemson).
C²M explicitly frames itself around cross-college expertise and industrial partners to develop science/technology for domestic mineral sources.
</t>
  </si>
  <si>
    <t>Penn State is potentially valuable because it combines PG-specific separation R&amp;D (explicitly addressing radioactive-species constraints) with systems-level TEA/LCA and an industry-facing critical minerals hub that signals a credible pathway from discovery to validation and early scale translation.</t>
  </si>
  <si>
    <t xml:space="preserve">Primary alignment: End-to-end separation flowsheet development and translation.
Bulk PG Liberation &amp; Concentration:
PSU’s work on chemical digestion and electrodialysis directly addresses the challenge of liberating and concentrating target species from phosphogypsum.
Selective Separation of Problematic Components:
Peptide-functionalized membranes and engineered separations support efficient partitioning of contaminants into hot fractions.
Process Integration &amp; Viability:
TEA/LCA capabilities help ensure that technical pathways remain economically and environmentally viable.
Scale Translation Risk:
C²M’s pilot-scale orientation supports early de-risking of scale-up.
Limitations:
Less focused on regulatory validation and environmental fate than UF/FSU.
Overall Assessment:
PSU functions as the technical backbone for NutriCrops’ core treatment flowsheet from lab through early pilot.
</t>
  </si>
  <si>
    <t xml:space="preserve">Clemson University - Center for Nuclear Environment Engineering Sciences &amp; Radioactive Waste Managemnt </t>
  </si>
  <si>
    <t>The Center for Nuclear Environmental Engineering Sciences and Radioactive Waste Management (NEESRWM) focuses on research and education in understanding, cleaning up, and managing radioactive contamination and waste. Its goal is to study the environmental effects of nuclear technologies and natural radioactivity while training future leaders in this field at the state, national, and global levels.</t>
  </si>
  <si>
    <t>Clemson, South Carolina, United States</t>
  </si>
  <si>
    <t>https://www.clemson.edu/centers-institutes/neesrwm/</t>
  </si>
  <si>
    <t>Radioaactive waste processing &amp; remediation + Environmental radioactivity and contamination characterization. + Radiochemisty and radiation measurement. + Environmental risk and life cycle assessment for radioactive systems.</t>
  </si>
  <si>
    <t>Although NEESRWM mainly studies radioactive waste from nuclear activities, their work on how radioactive elements move, are measured, and can be contained is directly useful for phosphogypsum. Their methods can help understand and reduce naturally occurring radioactive materials like radium and uranium, guiding cleanup and safe handling of PG.</t>
  </si>
  <si>
    <t>Operational/scale context in DOE ecosystem: DOE materials describe vitrification (“glassification”) as the preferred immobilization option for high-level liquids at SRS and discuss SRS waste solidification facilities (DWPF, Saltstone).</t>
  </si>
  <si>
    <t xml:space="preserve">Primary alignment: Applied hydrometallurgy and scale-oriented materials processing.
Hydrometallurgical Processing:
Supports leaching, precipitation, and solvent extraction relevant to PG treatment.
Process Scale-Up Experience:
Strong tradition in applied mineral and materials engineering.
Pilot-Level Validation:
Experience bridging lab methods to engineering demonstrations.
Industrial Relevance:
Works closely with industry on applied resource recovery.
Limitations:
Less emphasis on radiochemistry and regulatory validation.
Overall Assessment:
Clemson functions as a practical scale-up and applied processing partner.
</t>
  </si>
  <si>
    <t>Case Western Reserve University</t>
  </si>
  <si>
    <t xml:space="preserve">CWRU is a private, research-intensive (“R1”) university in Cleveland, Ohio, known for strong engineering and science programs across chemical, materials, and environmental disciplines. The university plays a leading role in research partnerships, including a multiyear NSF project with Penn State and Clemson focused on sustainable resource recovery from industrial waste streams such as phosphogypsum.
</t>
  </si>
  <si>
    <t>Cleveland, OH, USA</t>
  </si>
  <si>
    <t>https://case.edu/</t>
  </si>
  <si>
    <t xml:space="preserve">Advanced separations science and engineering (chemical &amp; biomolecular engineering)
Materials science and engineering (materials functionality relevant to separations and reuse)
Environmental engineering systems (remediation and sustainable resource recovery)
Clean tech resource recovery (rare earth elements from industrial byproducts)
Related units include the Department of Chemical &amp; Biomolecular Engineering, Materials Science and Engineering, and the Environmental Engineering program.
</t>
  </si>
  <si>
    <t xml:space="preserve">Design of novel separation materials and processes, including membrane and peptide-mediated selectivity mechanisms that could be adapted for REE and radionuclide separation.
Collaborative approaches to recover rare earth elements from phosphogypsum, focusing on engineered peptides and precision separations to isolate valuable species from complex, dilute waste streams.
Environmental systems and remediation research anchored in understanding contaminant behavior and sustainable recovery pathways.
This blend of advanced separations, materials development, and environmental remediation systems gives CWRU technical competence for mechanistic innovation and sustainability evaluation in phosphogypsum processing contexts.
</t>
  </si>
  <si>
    <t xml:space="preserve">CWRU is one of the central partners in a recently funded NSF project to develop new methods for extracting rare earth elements from phosphogypsum — a process that directly overlaps with the broader NutriCrops challenge of valorizing PG by treating it to separate and recover problematic or valuable components.
Even though not all phosphogypsum research is focused on radioactive elements specifically, the separation science, recovery processes, and advanced materials design being developed are applicable to tackling multi-component separation challenges, including radionuclide issues tied to PG feedstocks.
</t>
  </si>
  <si>
    <t xml:space="preserve">NSF-funded REE recovery collaboration: CWRU leads or co-leads multiple aspects of a major project with Penn State and Clemson to develop separation strategies for rare earths from phosphogypsum.
Duval Lab’s research program explicitly lists this NSF project and its goals connected to waste resource recovery from phosphate industry byproducts.
Engineering research groups engaged in advanced separation materials (e.g., membrane systems, polymeric media) and environmental protection technologies that can contribute to PG processing innovation.
Even if broader than radiochemistry alone, this activity demonstrates real engagement at the interface of waste processing, valued component separation, and environmental remediation.
</t>
  </si>
  <si>
    <t xml:space="preserve">CWRU researchers working on separation materials and processes may be generating patentable technologies, especially around engineered peptides and specialized separation media; details would depend on specific project outcomes.
Unlike a single lab “product,” the value here is in platform science — advanced separations mechanisms that could be adapted to PG’s unique chemistry and radioactivity profile as part of a larger flowsheet.
For example, the peptide-mediated separation methods under development for REE recovery could, with adaptation, support selective capture of specific contaminants or radionuclides in PG streams — a capability with high conceptual crossover to NutriCrops needs.
</t>
  </si>
  <si>
    <t xml:space="preserve">CWRU is well-positioned for collaborative research, especially in large, multi-institution consortia that combine:
Fundamental separations innovation (CWRU)
Environmental systems translation (Penn State and others)
Engineering scale and techno-economic analysis (partners)
This makes them a good fit for NutriCrops if the project strategy includes discovery science plus mid-TRL validation rather than only late-stage engineering deployment.
They can contribute to:
Identifying and validating new separation mechanisms relevant to PG streams
Laboratory testing and model development
Connecting with broader sustainability metrics (e.g., lifecycle analysis)
Their ongoing NSF project also suggests they can secure leveraged funding, expand research networks, and attract graduate/postdoc capacity to a NutriCrops initiative.
</t>
  </si>
  <si>
    <t xml:space="preserve">CWRU contributes advanced separation and materials expertise that can improve the selectivity and efficiency of radionuclide concentration from phosphogypsum, strengthening NutriCrops’ ability to isolate and manage hot fractions at scale.
</t>
  </si>
  <si>
    <t xml:space="preserve">Primary alignment: Separation efficiency and selectivity innovation.
Selective Capture Mechanisms:
Engineered peptides and advanced materials improve isolation efficiency.
Hot-Fraction Minimization:
Better separations reduce the volume of material requiring special handling.
Process Performance Optimization:
Enhances yield and purity of clean fractions.
Early Validation:
Bench-scale proof of concept supports downstream translation.
Limitations:
Less focus on regulatory or market validation.
Overall Assessment:
CWRU is NutriCrops’ separations innovation engine.
</t>
  </si>
  <si>
    <t>Colorado School of Mines</t>
  </si>
  <si>
    <t>Colorado School of Mines is a leading public research university focused on earth sciences, engineering, and the sustainable production, processing, and reuse of minerals and materials. Mines hosts interdisciplinary programs geared toward nuclear science and engineering, extractive metallurgy, critical minerals supply chains, and environmental risk assessment, making it a significant hub for both fundamental and applied research in separations, material recovery, and environmental systems.</t>
  </si>
  <si>
    <t>Golden, CO, USA</t>
  </si>
  <si>
    <t xml:space="preserve">University: https://www.mines.edu/
Nuclear Science &amp; Engineering Center (NuSEC): https://nusec.mines.edu/
Kroll Institute for Extractive Metallurgy: https://kiem.mines.edu/
Critical Minerals Research: https://www.mines.edu/critical-minerals-research/
</t>
  </si>
  <si>
    <t xml:space="preserve">Nuclear Science &amp; Engineering: Interdisciplinary research across the complete nuclear fuel cycle, separations, radiation measurement, and waste remediation.
Extractive Metallurgy &amp; Mineral Processing: Advanced separation technologies, rare earth elements (REEs), and metallurgical innovation via the Kroll Institute.
Critical Minerals &amp; Waste-to-Resource Innovation: Multi-disciplinary research on critical mineral recovery from waste streams and sustainable reuse of mine wastes.
Environmental Engineering &amp; Risk Assessment: Research in environmental risk, systems behavior, and sustainable reuse of byproducts.
</t>
  </si>
  <si>
    <t xml:space="preserve">Advanced separations &amp; extractive metallurgy: development and analysis of separation strategies to recover critical minerals and metals from complex matrices.
Radiochemistry and measurement: capability to work with radioactive materials and fuel-cycle relevant processes through NuSEC facilities.
Critical mineral lifecycle research: combining technical, environmental, and policy analysis to enable economic and sustainable resource recovery from abandoned or low-value streams.
Environmental systems &amp; reuse pathways: scalable processes to transform mine waste into usable construction materials while capturing valuable elements from waste streams.
</t>
  </si>
  <si>
    <t xml:space="preserve">While Mines has not publicly positioned itself around phosphogypsum specifically, its core expertise in separations, extractive metallurgical processes, critical mineral recovery from waste, and nuclear science is highly relevant to NutriCrops’ needs:
The separation technologies and extractive metallurgy platforms developed at Mines (e.g., rare earth and critical mineral processing) are analogous to the separation challenges in PG treatment (e.g., isolating radionuclides or valuable/trace elements).
NuSEC’s nuclear science capabilities provide infrastructure for advanced radiochemistry and measurement that could support radionuclide quantification and process validation.
Mines’ critical minerals research and waste-to-resource innovation systems align with bulk waste valorization strategies (converting waste streams into usable products while responsibly handling contaminants).
This makes Mines a strong enabling partner for aspects of the NutriCrops workflow that involve separations, measurement, and system integration for complex multi-component waste matrices like phosphogypsum.
</t>
  </si>
  <si>
    <t xml:space="preserve">The Nuclear Science &amp; Engineering Center supports faculty research and infrastructure for nuclear science, including separations, radiation measurement, and waste remediation.
The Kroll Institute for Extractive Metallurgy conducts research and training relevant to mineral processing and separations, supporting industry-relevant solutions.
Mines houses a Critical Minerals Research program focused on sustainable extraction of critical elements, policy, and environmental considerations.
Research teams at Mines are developing scalable reuse processes for mine waste, turning tailings into construction materials and exploring critical mineral recovery opportunities.
These collectively demonstrate an ongoing research enterprise that touches dimensions of separations, environmental risk, and waste valorization necessary for NutriCrops’ ecosystem mapping.
</t>
  </si>
  <si>
    <t xml:space="preserve">Mines’ Kroll Institute and collaborations have resulted in patented processing technologies (e.g., rare earth element recovery and beneficiation approaches) that show the institution’s ability to generate technology outputs with real-world impact.
While not specific to phosphogypsum, this IP signals capacity for developing separation processes that are relevant to NutriCrops’ mission (e.g., efficient extraction and purification under complex feed conditions).
</t>
  </si>
  <si>
    <t xml:space="preserve">Mines is inherently collaborative across departments and with external partners (industry, government, academia), due to its mission to address mineral sustainability and environmental challenges. Its research model supports:
Interdisciplinary academic collaboration
Industry-university co-development
Federal research partnerships
Graduate/postdoc integration into problem-focused teams
This makes Mines a strong partner for NutriCrops, especially where separations science, measurement infrastructure, and waste valorization strategies are concerned.
</t>
  </si>
  <si>
    <t xml:space="preserve">Mines provides integrated expertise in mineral processing, radiochemistry, and waste valorization that can strengthen NutriCrops’ ability to isolate radionuclides and improve bulk phosphogypsum treatment efficiency.
</t>
  </si>
  <si>
    <t xml:space="preserve">Primary alignment: Engineering integration and process systems design.
Complex Separation Engineering:
Expertise in extractive metallurgy supports multi-stage separation design.
Radiochemistry &amp; Measurement:
NuSEC capability supports radionuclide quantification and process validation.
Waste-to-Resource Integration:
Systems-level approaches help link treatment to valorization pathways.
Early Scale-Up Risk:
Experience with applied metallurgical systems supports pilot translation.
Limitations:
Less embedded in PG-specific field contexts.
Overall Assessment:
Mines serves as the process engineering and systems-integration partne
</t>
  </si>
  <si>
    <t>Hot-fraction stabilization / immobilization (where the “concentrate” goes)</t>
  </si>
  <si>
    <t>Brigham Young University (BYU)</t>
  </si>
  <si>
    <t xml:space="preserve">Brigham Young University is a private research university in Provo, Utah, United States offering strong programs in chemical engineering and computational optimization. BYU faculty and students contribute to research on process optimization, machine learning–augmented modeling, and nuclear waste vitrification optimization algorithms, primarily through the Process Research and Intelligent Systems Modeling (PRISM) group within the Department of Chemical Engineering.
</t>
  </si>
  <si>
    <t>Provo, Utah, USA</t>
  </si>
  <si>
    <t>https://apm.byu.edu/prism/index.php/Projects/VitrificationNuclearWaste?utm_source=chatgpt.com</t>
  </si>
  <si>
    <t xml:space="preserve">Advanced process optimization and machine-learning integrated modelling (with applications to radioactive waste vitrification)
Computational modeling of complex physicochemical processes (low-activity radioactive waste glass formulation)
Systems dynamics and optimization relevant to chemical engineering processes
While BYU is not a nuclear engineering research powerhouse per se, the work above directly engages nuclear waste vitrification optimization and constrained optimization with uncertainty quantification.
</t>
  </si>
  <si>
    <t xml:space="preserve">Application of machine learning algorithms (e.g., GPR, SVR, neural networks) to enhance optimization of nuclear waste glass formulation in constrained scenarios, integrating uncertainty quantification into gradient-based optimization frameworks.
Development of advanced optimization formulations to improve glass property prediction and maximize waste loading, ultimately reducing the amount of vitrified product needed and supporting safer immobilization.
This work is computational/risk-analysis oriented rather than experimental vitrification with actual waste streams, but it directly speaks to methodologies for designing better immobilization outcomes.
</t>
  </si>
  <si>
    <t xml:space="preserve">Indirect and niche relevance: although BYU’s work focuses on nuclear waste vitrification, the optimization and uncertainty-quantification methods they develop are conceptually relevant to any process (including phosphogypsum remediation) that involves:
Process optimization under constraints
Machine-learning augmented parameter selection
Modeling for durable waste forms (e.g., glass) that immobilize problematic components
If a phosphogypsum flowsheet included a high-temperature vitrification / inert matrix formation stage to immobilize radionuclides, the methods BYU explores could support optimization of waste loading and durability outcomes.
</t>
  </si>
  <si>
    <t xml:space="preserve">The PRISM group at BYU has publicly described a project applying machine learning to optimize nuclear waste vitrification parameters and uncertainty quantification, including support from DOE’s Office of River Protection.
A 2022 peer-reviewed article documents ML-augmented optimization for nuclear waste glass formulation, with multiple co-authors and established optimization tools (e.g., Gekko), offering published evidence of research output.
BYU’s PRISM modeling group, led by Dr. John Hedengren, maintains a portfolio of modeling, optimization, and intelligent systems projects — though nuclear waste vitrification is one of the few explicitly radioactive applications.
</t>
  </si>
  <si>
    <t xml:space="preserve">The optimization tools developed (e.g., GEKKO, machine-learning integrated optimization frameworks) have been applied across industrial and research domains; while not specific IP for phosphogypsum, the computational methods could be adapted for optimization of complex waste treatment processes.
BYU’s computational frameworks are also used industry-wide, demonstrating broader applicability and population in engineering modeling workflows.
There’s no evidence of BYU having patents related to radionuclide separation or waste form immobilization, but the optimization frameworks may be considered enabling technologies.
</t>
  </si>
  <si>
    <t xml:space="preserve">Moderate; BYU actively engages with:
Federal laboratory partners (via project links to DOE’s Office of River Protection and PNNL)
Academic partners through peer-reviewed research on waste optimization
Engineering and modeling communities via open platforms like GEKKO
Their orientation leans toward methods integration and cross-sector modeling challenges.
</t>
  </si>
  <si>
    <t xml:space="preserve">BYU offers advanced computational and optimization expertise that can enhance the design of complex treatment flowsheets requiring constrained decision logic and uncertainty quantification — particularly if NutriCrops explores vitrification or sophisticated waste form optimization as part of a remediation pathway. Their machine-learning–augmented optimization methods can help reduce processing uncertainty and maximize desirable outcomes (e.g., waste loading, durability) in complex multi-parameter systems.
</t>
  </si>
  <si>
    <t xml:space="preserve">BYU’s primary contribution to NutriCrops would be in computational optimization and uncertainty management, rather than direct phosphogypsum processing. Their strengths align with specific system-level challenges as follows:
Process Design Uncertainty:
BYU’s machine-learning–augmented optimization methods can support early-stage flowsheet design by identifying robust operating windows under uncertain feed composition and performance variability.
Hot-Fraction Immobilization Optimization:
If NutriCrops pursues vitrification or inert-matrix stabilization for concentrated radionuclide residues, BYU’s modeling frameworks can help optimize waste loading, durability, and processing constraints.
Multi-Parameter Tradeoff Management:
Their tools are well suited to balancing competing objectives (cost, safety, throughput, waste form stability) in complex treatment systems.
Scale Translation Risk (Indirect):
BYU can help anticipate scale-up sensitivities through simulation, reducing trial-and-error during pilot development.
Limitations:
BYU does not address primary roadblocks related to radionuclide separation, bulk PG processing, or field validation. Their role is supportive and enabling, not foundational.
Overall Assessment:
BYU is best positioned as a modeling and optimization support partner for high-risk or high-complexity subsystems (especially hot-fraction treatment), rather than as a lead technical developer for bulk phosphogypsum remediation.
</t>
  </si>
  <si>
    <t>DOE Nuclear Energy University Program (NEUP)</t>
  </si>
  <si>
    <t xml:space="preserve">The DOE Nuclear Energy University Program (NEUP) is a long-running U.S. Department of Energy funding and partnership program designed to support university-led research, infrastructure, and talent development in nuclear science and engineering. NEUP funds competitively awarded projects that address applied nuclear challenges, including nuclear materials, waste management, radiation science, and fuel-cycle technologies.
NEUP is not an operator or technology developer, but a critical enabling mechanism that connects:
Universities
National laboratories
Industry partners
around applied, regulator-relevant nuclear R&amp;D
</t>
  </si>
  <si>
    <t>Washington, DC, USA</t>
  </si>
  <si>
    <t>https://neup.inl.gov/rd/neup-projects</t>
  </si>
  <si>
    <t xml:space="preserve">NEUP funds research and infrastructure across areas highly relevant to NutriCrops, including:
Nuclear waste management and disposal
Radiological science and radiation effects
Separation science for nuclear and radiological materials
Fuel-cycle chemistry
Materials under radiation
Radiation detection and measurement
Environmental transport of radionuclides
Importantly, NEUP supports TENORM-adjacent science, even when the waste is not traditional spent nuclear fuel.
</t>
  </si>
  <si>
    <t xml:space="preserve">NEUP operates through several complementary mechanisms:
A. Competitive Research Awards
Multi-year grants (typically 2–3 years)
University-led, often with:
National lab collaborators (ORNL, INL, SRNL, etc.)
Industry partners
Projects emphasize applied research with clear DOE relevance
B. Infrastructure &amp; Equipment Grants
Funding for:
Radiochemistry labs
Radiation-handling equipment
Analytical instrumentation
These grants materially improve universities’ ability to work with radioactive materials safely
C. Student &amp; Workforce Development
Graduate fellowships
Hands-on research tied to real DOE challenges
Builds a pipeline of nuclear/radiological talent relevant to NutriCrops
</t>
  </si>
  <si>
    <t xml:space="preserve">Medium–High relevance as an enabling mechanism, not a solution provider.
Within 18–24 months, NEUP can realistically:
Fund university-led validation research on:
Radium behavior in CaSO₄ matrices
Separation chemistry relevant to PG
Support UIUC, NC State, UTK, Duke, or similar partners with:
Applied radiochemical experiments
Regulator-aligned waste research
Provide DOE legitimacy to PG-related radionuclide studies
However:
NEUP does not execute pilots
NEUP does not deploy technology
Impact depends entirely on who is funded and how the project is scoped
</t>
  </si>
  <si>
    <t xml:space="preserve">NEUP has funded hundreds of projects across:
Nuclear waste forms
Radiochemistry
Separation science
Regular annual funding calls with:
Industry and national-lab participation encouraged
National labs (ORNL, INL, SRNL) are frequent collaborators on NEUP awards
NEUP-funded work has historically influenced:
NRC technical bases
DOE waste program decisions
Technology spin-outs (indirectly)
</t>
  </si>
  <si>
    <t xml:space="preserve">IP generated under NEUP:
Typically owned by universities
Governed by Bayh–Dole and DOE terms
NEUP is IP-friendly for industry collaboration when structured correctly
Does not claim operational control over resulting technologies
</t>
  </si>
  <si>
    <t xml:space="preserve">Consortium-enabling
Strongly encourages:
University–national lab collaboration
Industry advisory participation
Well suited to multi-actor proposals aligned with NutriCrops’ ecosystem model
Not designed for rapid commercial execution
</t>
  </si>
  <si>
    <t xml:space="preserve">Annual funding cycles (timing matters)
Competitive selection
Requires strong academic leads and clear PG framing
Not suitable for urgent pilot execution without parallel industry funding
</t>
  </si>
  <si>
    <t xml:space="preserve">NEUP allows NutriCrops to:
Anchor its science in DOE priorities
Reduce cost of academic validation work
Align university research with regulator-facing narratives
Build a defensible technical foundation before pilots scale
In ecosystem terms, NEUP is a force multiplier, not a standalone actor.
NutriCrops defines the problem clearly (PG radionuclide reduction)
Universities (UIUC, NC State, UTK) execute the work
National labs provide validation
Startups and operators handle pilots and deployment
Used correctly, NEUP can quietly underwrite the hardest science while NutriCrops focuses on execution.
</t>
  </si>
  <si>
    <t xml:space="preserve">DOE Nuclear Energy University Program (NEUP) | https://www.energy.gov/ne/nuclear-energy-university-program-neup
DOE Office of Nuclear Energy | https://www.energy.gov/ne
NEUP funding opportunity announcements (FOAs) | https://www.grants.gov
DOE–University nuclear research overview | https://www.energy.gov/ne/articles/university-research
</t>
  </si>
  <si>
    <t xml:space="preserve">NEUP should be treated as a strategic funding backbone, not as a “partner” in the operational sense. Its highest value comes when:
NutriCrops defines the problem clearly (PG radionuclide reduction)
Universities (UIUC, NC State, UTK) execute the work
National labs provide validation
Startups and operators handle pilots and deployment
Used correctly, NEUP can quietly underwrite the hardest science while NutriCrops focuses on execution.
</t>
  </si>
  <si>
    <r>
      <rPr>
        <sz val="12"/>
        <color rgb="FF000000"/>
        <rFont val="Calibri"/>
        <family val="2"/>
        <scheme val="minor"/>
      </rPr>
      <t>The </t>
    </r>
    <r>
      <rPr>
        <b/>
        <sz val="12"/>
        <color rgb="FF000000"/>
        <rFont val="Calibri"/>
        <family val="2"/>
        <scheme val="minor"/>
      </rPr>
      <t>University of Illinois Urbana-Champaign (UIUC)</t>
    </r>
    <r>
      <rPr>
        <sz val="12"/>
        <color rgb="FF000000"/>
        <rFont val="Calibri"/>
        <family val="2"/>
        <scheme val="minor"/>
      </rPr>
      <t> is a top-tier public research university internationally recognized for excellence in </t>
    </r>
    <r>
      <rPr>
        <b/>
        <sz val="12"/>
        <color rgb="FF000000"/>
        <rFont val="Calibri"/>
        <family val="2"/>
        <scheme val="minor"/>
      </rPr>
      <t>chemical engineering, materials science, chemistry, nuclear engineering, and separation science</t>
    </r>
    <r>
      <rPr>
        <sz val="12"/>
        <color rgb="FF000000"/>
        <rFont val="Calibri"/>
        <family val="2"/>
        <scheme val="minor"/>
      </rPr>
      <t>. UIUC has a long history of translating </t>
    </r>
    <r>
      <rPr>
        <b/>
        <sz val="12"/>
        <color rgb="FF000000"/>
        <rFont val="Calibri"/>
        <family val="2"/>
        <scheme val="minor"/>
      </rPr>
      <t>fundamental chemistry and electrochemical research into commercial technologies</t>
    </r>
    <r>
      <rPr>
        <sz val="12"/>
        <color rgb="FF000000"/>
        <rFont val="Calibri"/>
        <family val="2"/>
        <scheme val="minor"/>
      </rPr>
      <t>, including multiple venture spin-outs in energy, materials, and advanced separations. UIUC is particularly relevant to NutriCrops because ligand-based selective extraction and electrochemical separation technologies developed at UIUC formed the scientific foundation of the startup Valor, demonstrating UIUC’s capability to generate commercially viable separation IP applicable to complex inorganic systems.</t>
    </r>
  </si>
  <si>
    <t xml:space="preserve">University of Illinois Urbana‑Champaign: https://www.illinois.edu/
Department of Chemical &amp; Biomolecular Engineering: https://chbe.illinois.edu/
Department of Materials Science &amp; Engineering: https://matse.illinois.edu/
Department of Nuclear, Plasma &amp; Radiological Engineering (NPRE): https://npre.illinois.edu/
</t>
  </si>
  <si>
    <t xml:space="preserve">Selective separation chemistry (ligands, extractants, electrochemistry)
Critical minerals and metal recovery
Electrochemical engineering and process intensification
Materials chemistry and solid‑liquid interfaces
Nuclear and radiological engineering (measurement, safety, radionuclide behavior)
</t>
  </si>
  <si>
    <t>A. Ligand‑Based &amp; Electrochemical Separations
Development of tailored ligands that selectively bind specific metal ions
Coupling of ligand chemistry with electrochemical driving forces to enable precise separations
Demonstrated applicability to complex feedstocks and dilute solutions — conditions analogous to radionuclides in phosphogypsum
B. Materials &amp; Interface Science
Research into ion substitution, crystal chemistry, and solid‑phase binding — critical for understanding how radionuclides (e.g., Ra²⁺) embed in gypsum lattices
Ability to probe mechanistic binding vs extractability, informing separation feasibility
C. Nuclear &amp; Radiological Engineering Support
Through NPRE, UIUC supports radiation science, detection, and safety protocols, enabling compliant research with TENORM materials</t>
  </si>
  <si>
    <t xml:space="preserve">UIUC is not yet a phosphogypsum‑focused university, but its relevance is strong for technology creation:
Phosphogypsum radionuclide reduction fundamentally requires highly selective separation technologies capable of discriminating trace radionuclides from dominant calcium sulfate matrices
UIUC’s ligand‑based separation science (as evidenced by Valor) is directly applicable in principle to radium, uranium, or thorium capture
UIUC can support:
Design of radionuclide‑specific ligands
Bench‑scale separation experiments
Electrochemical separation architectures adaptable to industrial processes
</t>
  </si>
  <si>
    <t>Valor startup origin: Public reporting confirms Valor’s technology was developed at UIUC prior to commercialization
Ongoing research in chemical separations, electrochemical engineering, and materials chemistry
Strong culture of industry‑linked and translational research, with multiple active spin‑outs in adjacent domains</t>
  </si>
  <si>
    <t>UIUC has a robust technology transfer office experienced in licensing separation and electrochemical IP
Likely ownership or shared ownership of foundational patents underlying Valor’s ligand‑based extraction platform
High probability of additional unpublished or pre‑commercial IP in selective separations applicable to radionuclides</t>
  </si>
  <si>
    <t>Academic research collaborator
Strong orientation toward:
Sponsored research
Joint IP development
Industry‑aligned R&amp;D programs
Experienced in spin‑out formation, but NutriCrops engagement would likely be direct research collaboration rather than venture creation</t>
  </si>
  <si>
    <t>Requires explicit framing around phosphogypsum/TENORM to engage appropriate faculty
Handling of radioactive materials subject to UIUC radiation safety approvals
Scale‑up requires partnership with ventures or industrial operators</t>
  </si>
  <si>
    <t>A source of next‑generation separation science
Demonstrated ability to translate chemistry into scalable technology
Potential to design radionuclide‑specific extraction methods rather than adapting legacy processes</t>
  </si>
  <si>
    <t xml:space="preserve">University of Illinois Urbana‑Champaign | https://www.illinois.edu/
UIUC Chemical &amp; Biomolecular Engineering | https://chbe.illinois.edu/
UIUC Materials Science &amp; Engineering | https://matse.illinois.edu/
UIUC Nuclear, Plasma &amp; Radiological Engineering | https://npre.illinois.edu/
Valor startup origin article | https://resource-recycling.com/e-scrap/2025/09/18/ex-glencore-chief-starts-valor-to-refine-critical-metals/
Critical minerals separation &amp; Valor context | https://www.globalbankingandfinance.com/USA-MINING-VALOR-METALS-c69f8554-188a-4595-91fb-4069cb5bfd38/
EPA Phosphogypsum Overview | https://www.epa.gov/radiation/phosphogypsum
EPA TENORM Definition | https://www.epa.gov/radiation/technologically-enhanced-naturally-occurring-radioactive-materials-tenorm
</t>
  </si>
  <si>
    <t>UIUC is where new separation pathways for phosphogypsum radionuclide reduction are most likely to originate.</t>
  </si>
  <si>
    <t>U.S. Ventures</t>
  </si>
  <si>
    <t>Pheonix Tailings</t>
  </si>
  <si>
    <t xml:space="preserve">Phoenix Tailings, Inc. is a U.S. cleantech startup pioneering zero-waste extraction and refining of critical metals from mining waste (tailings) and industrial residues. The company’s technology is designed to recover rare earth elements (REEs) and other strategic metals using proprietary, environmentally sustainable processes that aim to eliminate hazardous byproducts and reduce emissions compared to conventional methods. It is a mission-driven venture focused on domestic supply chain resilience, environmental stewardship, and sustainable resource recycling.
</t>
  </si>
  <si>
    <t>Woburn, Massachusetts, USA</t>
  </si>
  <si>
    <t>https://phoenixtailings.com</t>
  </si>
  <si>
    <t xml:space="preserve">Zero-waste critical metals extraction
Rare earth element (REE) recovery &amp; refining
Mining waste valorization
Electrochemical and chemical separation technologies
Modular, scalable processing systems for tailings, wastewater, and industrial residues
</t>
  </si>
  <si>
    <t xml:space="preserve">Phoenix Tailings uses a proprietary, sustainable extraction and metallization process aimed at transforming low-value mining waste (tailings or industrial effluent) into high-purity critical metals without hazardous byproducts. Key elements include:
Tailings &amp; waste stream processing: Recover metals from mining refuse that would otherwise pose environmental hazards.
Proprietary chemistries and ligands: Development of specialized chemical agents to selectively capture metals, including critical elements from dilute sources such as wastewater or brines.
Molten salt electro-metallization: Heating and electrically reducing mixtures of target metals to produce pure metal products directly — not just intermediates.
Circular, modular systems: Systems built to be flexible across different feedstocks and adaptable to existing facilities.
</t>
  </si>
  <si>
    <t xml:space="preserve">Conceptual alignment with industrial waste valorization: Their technology platform for selective extraction from highly heterogeneous waste materials could be adapted to radionuclide removal from phosphogypsum or other TENORM wastes.
Waste stream analytics and separation technology know-how can be repurposed to radium/uranium capture workflows if technical feasibility is demonstrated.
Thus, Phoenix Tailings is not currently a phosphogypsum specialist, but is relevant as an innovation node in waste valorization, selective extraction, and modular scalable processing — all of which could be pivoted toward phosphogypsum challenges with the right R&amp;D alignment.
</t>
  </si>
  <si>
    <t xml:space="preserve">Commercial facilities operational: Phoenix Tailings has opened a domestic rare earth metallization facility designed to refine REEs independent of foreign supply chains, with initial output capacity reported at hundreds of tons annually and scalable to &gt;1,000 tpy.
Federal funding &amp; R&amp;D programs: Selected for ~$1.6M in ARPA-E funding to develop critical mineral extraction from wastewater and dilute industrial streams using novel ligand technologies.
Series B funding secured: ~$76M raised in late 2024 / early 2025, with strategic investors including BMW i Ventures and others to accelerate commercialization.
Recognition: Named among global cleantech leaders and scaling ambitions against a backdrop of domestic supply chain strengthening.
</t>
  </si>
  <si>
    <t xml:space="preserve">Proprietary separation and metallization processes: Electrochemical and chemical engineering innovations designed to extract and purify metals from waste streams without hazardous chemicals or emissions.
Ligand chemistry for low-concentration feeds: Potential IP enabling selective binding from dilute sources such as wastewater.
Platform extensibility: Technology is positioned to address wastes beyond tailings — including brines and industrial effluents — suggesting modular, feedstock-agnostic potential for future adaptation.
</t>
  </si>
  <si>
    <t xml:space="preserve">Technology co-development &amp; partnerships: Open to industrial collaborations across supply chains from miners to end users.
Government &amp; grant partnerships: Engages with federal innovation programs (e.g., ARPA-E) indicating flexibility for publicly funded R&amp;D.
Strategic investor network: Backed by a mix of climate-tech investors and manufacturing/industrial venture partners.
Orientation summary: Collaborative, strategic, and scaling-driven — with a focus on integrating technology with market and government partners.
</t>
  </si>
  <si>
    <t xml:space="preserve">Current focus is on critical metals from mining waste, not TENORM
Technical adaptation to phosphogypsum / radionuclide separation remains speculative
Regulatory compliance and safety requirements for radioactive work are complex (not core to the company’s current focus)
</t>
  </si>
  <si>
    <t xml:space="preserve">Best-in-class waste extraction mindset: Expertise transforming environmental liability (waste) into valuable output
Cross-sector processing experience: Could cross-pollinate methods into radioactive element extraction
Government-aligned R&amp;D posture: Comfortable working in publicly funded innovation contexts
Phoenix Tailings may become a bridge partner if its technology can be directed toward radionuclide challenges.
</t>
  </si>
  <si>
    <t xml:space="preserve">Phoenix Tailings Official Website | https://phoenixtailings.com/
Phoenix Tailings company profile (Tracxn) | https://tracxn.com/d/companies/phoenix-tailings/__rOdxVuZLmj_VKiwUQCeTPRbnBdbQUBVLuVqc2JKJ6B8
Phoenix Tailings cleantech and funding details (Wolf Greenfield) | https://wolfgreenfield.com/client-spotlights/phoenix-tailings
MIT News: Startup turns mining waste into critical metals | https://news.mit.edu/2024/startup-phoenix-tailings-turns-mining-waste-into-critical-metals-1108
Phoenix Tailings opens rare earth metallisation facility | https://im-mining.com/2025/10/24/phoenix-tailings-opens-us-first-domestic-rare-earth-metallisation-facilities/
DOE ARPA-E funding for Phoenix Tailings | https://www.morningstar.com/news/business-wire/20251204539236/phoenix-tailings-selected-to-receive-16-million-in-federal-funding-for-technology-to-extract-critical-minerals-from-wastewater
Phoenix Tailings profile on F6S | https://www.f6s.com/company/phoenixtailings
Phoenix Tailings extraction/ligand R&amp;D context | https://thechemicaldata.com/phoenix-tailings-wins-1-6m-to-transform-mine/
</t>
  </si>
  <si>
    <t xml:space="preserve">Phoenix Tailings is a climate-tech / resource-recovery startup that reimagines waste streams as valuable inputs using sustainable, zero-waste technology. Although not currently oriented toward phosphogypsum or radioactive element removal, its platform and R&amp;D orientation could be a starting point for novel extraction or separation methods that might scale into the TENORM / radionuclide space with appropriate strategic alignment.
</t>
  </si>
  <si>
    <t>Valor</t>
  </si>
  <si>
    <t xml:space="preserve">Valor is a U.S. early-stage metals-processing and critical mineral technology startup founded to revolutionize mineral extraction and refining using innovative ligand-based electrochemical separation technology. The company’s mission is to dramatically lower the cost, energy use, and waste associated with refining critical metals — including copper, rare earth elements, and other key components for technology and clean energy — relative to traditional methods such as smelting and solvent extraction. Valor’s founding technology was developed in collaboration with researchers at the University of Illinois Urbana-Champaign, and the startup is focused on scaling the approach for commercial impact.
</t>
  </si>
  <si>
    <t>New York City, NY, USA</t>
  </si>
  <si>
    <t>https://www.valor118.com</t>
  </si>
  <si>
    <t xml:space="preserve">Selective metal extraction and separation using advanced ligand chemistry
Critical minerals processing for metals such as copper and rare earths
Electrochemical and solution-phase separation innovation
Domestic supply chain strengthening for critical materials
</t>
  </si>
  <si>
    <t xml:space="preserve">Valor’s core technology is based on ligand-enhanced electrochemical separation:
Ligand-guided selectivity: Ligands are engineered to bind only specific target metals (e.g., copper or rare earths) when dissolved in solution and combined with an applied electric current. This permits selective capture of desired elements over others in a feedstock.
Electrochemical control: Applying a current drives the metal-ligand complexes to separate from the solution, enabling a potentially cleaner, more modular extraction process than conventional hydrometallurgy or pyrometallurgy.
Broad applicability: The process is positioned to work on a range of feedstocks, including hard rock ores, recycled battery materials, and deep-sea nodules — though it remains to be validated at scale.
Waste reduction: Valor claims the method could be significantly cheaper and faster (e.g., at least 10× improvements) with minimal waste byproducts compared to traditional methods, though this remains to be proven in commercial settings.
</t>
  </si>
  <si>
    <t xml:space="preserve">Valor is focused on critical metals, not radionuclide removal from phosphogypsum or TENORM wastes at present.
Adjacent potential:
The ligand-based selective extraction platform — if validated and adaptable — could conceptually be repurposed for radionuclide separation (e.g., selective capture of radium or uranium isotopes) because the same principles apply: tailoring a ligand to bind a specific target ion from a complex mixture.
Valor’s involvement in low-waste, high-selectivity separations aligns with broader NutriCrops interests in resource recovery from challenging waste streams.
</t>
  </si>
  <si>
    <t xml:space="preserve">Founding leadership: Founded in 2025 by Kunal Sinha, former head of recycling at Glencore, bringing decades of industrial experience in metals and recycling.
Technology origin: Based on ligand extraction research from the University of Illinois Urbana-Champaign.
Scale-up plans: Valor has begun fundraising to build a demonstration facility (proposed in Massachusetts or New York) and aims to validate the technology across at least five metals within 2–3 years.
Early positioning: Despite early stage, Valor’s leadership and technology narrative have attracted industry attention as an innovative alternative to legacy processing.
</t>
  </si>
  <si>
    <t xml:space="preserve">Ligand-based extraction platform marks the primary technological claim — applying tailored molecules and electrochemical control for selective metal separation.
Underlying IP likely linked to university-generated technology, with Valor building commercialization pathways.
As of early 2026, no public patent portfolio is visible, but ongoing development and demonstration plans suggest future IP filings in selective extraction methods.
</t>
  </si>
  <si>
    <t xml:space="preserve">Open to industrial partnerships and strategic investors interested in critical minerals supply chains.
Fundraising emphasis: Leading a capital raise aimed at building demonstration capacity.
Positioning for U.S. supply chain strategic alignment: Potential partner for government-driven mineral processing initiatives.
In summary, Valor is oriented toward co-development of processing systems and new supply chain models, rather than academic or laboratory collaboration alone.
</t>
  </si>
  <si>
    <t xml:space="preserve">Must validate technology performance outside laboratory conditions
Requires significant capital and industrial partnerships for demonstration
Adapting technology to radioactive species (Ra, U) would require new R&amp;D and safety frameworks
</t>
  </si>
  <si>
    <t xml:space="preserve">Pioneering separation platform with potential applicability beyond critical minerals
Leadership with deep industrial experience
Sits at the intersection of extractive metallurgy, sustainability, and supply chain resilience
Could feed into NutriCrops explorations of next-generation, low-waste extraction methods
</t>
  </si>
  <si>
    <t xml:space="preserve">Ex-Glencore chief starts Valor to refine critical metals | https://resource-recycling.com/e-scrap/2025/09/18/ex-glencore-chief-starts-valor-to-refine-critical-metals/ :contentReference[oaicite:17]{index=17}
Valor startup uses ligands to process critical minerals | https://www.globalbankingandfinance.com/USA-MINING-VALOR-METALS-c69f8554-188a-4595-91fb-4069cb5bfd38/ :contentReference[oaicite:18]{index=18}
Critical minerals recycling and startup landscape article (Valor &amp; DISA) | https://www.ainvest.com/news/rise-critical-minerals-recycling-startups-potential-disrupt-global-supply-chains-2509/ :contentReference[oaicite:19]{index=19}
Glencore recycling executive launches Valor | https://www.mining.com/web/glencores-former-head-of-recycling-launches-critical-minerals-processing-firm/ :contentReference[oaicite:20]{index=20}
</t>
  </si>
  <si>
    <t xml:space="preserve">Valor is not currently a phosphogypsum specialist, but its ligand-based extraction innovation provides a technology archetype that could be adapted to capture trace elements — including radionuclides — from complex waste matrices. Evaluating collaboration would require targeted R&amp;D exploration to determine how the platform could be tuned for radionuclides and tested on phosphogypsum.
</t>
  </si>
  <si>
    <t>Deep Isolation</t>
  </si>
  <si>
    <t xml:space="preserve">Deep Isolation is a nuclear waste technology company developing an alternative to mined geologic repositories by using directional (horizontal) deep boreholes to isolate long-lived radioactive waste in suitable host rock formations. The company positions its solution as modular and adaptable to different waste forms and national waste programs, combining standard drilling methods with patented canister and repository system technology.
</t>
  </si>
  <si>
    <t>https://www.deepisolation.com/</t>
  </si>
  <si>
    <t xml:space="preserve">Geologic disposal of radioactive waste using directional borehole disposal
Repository engineering systems (siting, design, safety case, monitoring)
Patented canister systems for storage/transport/disposal integration
Implementation roadmaps and partner delivery models for government/industry programs
</t>
  </si>
  <si>
    <t>Directional borehole repositories drilled deep into suitable host rock using standard drilling techniques plus site characterization.
Patented canister technology (including their Universal Canister System (UCS)) designed to contain waste for long-term storage/transport/disposal pathways.
Emplacement and retrieval concepts validated in a public demonstration (prototype canister, no radioactive material) placed into and retrieved from a deep horizontal drillhole using an underground “tractor.”
IP portfolio spanning repository systems, canisters, monitoring, casing systems, and operational methods (extensive patents listed publicly).</t>
  </si>
  <si>
    <t>Deep Isolation is not a “PG radionuclide removal” technology provider. Its relevance is downstream:
Direct PG relevance: Low. Phosphogypsum is typically a TENORM waste; Deep Isolation’s primary messaging is oriented toward spent fuel and high-level radioactive waste disposal, not bulk TENORM treatment.
NutriCrops relevance (important adjacency): Medium–High as an end-of-life pathway if NutriCrops produces a concentrated, radium/uranium-enriched fraction or secondary radioactive residue that becomes difficult to manage with conventional disposal routes. Deep Isolation could be evaluated as a long-term isolation option for those concentrated streams (subject to regulatory fit and waste form acceptance).</t>
  </si>
  <si>
    <t>DOE-funded milestone: The company announced completion of a DOE-funded project (“Project UPWARDS”) advancing and validating its Universal Canister System for storage/transport/disposal of spent fuel/high-level waste from advanced reactors.
Corrosion resistance testing: Press materials describe evaluation of UCS and casing materials for corrosion resistance as part of a DOE-funded effort, supporting progress toward full-scale demonstration.
Licensing model to major federal contractor: Deep Isolation licensed its disposal technology/IP to Navarro (per American Nuclear Society reporting), indicating an active commercialization path via partners.
Full-scale demonstration program announcement: The company publicized a multi-year, at-depth demonstration program with named collaborators including Halliburton, Amentum, NAC International, and others.</t>
  </si>
  <si>
    <t xml:space="preserve">Deep Isolation publicly lists a large patent portfolio across multiple jurisdictions, including patents for repository systems, hazardous material canisters, monitoring systems, and casing systems.
Their partnership offering explicitly includes licensed access to operational IP and technology IP, plus training/support for clients and contractors.
For NutriCrops, the IP value is less about “removal” and more about engineered isolation of radioactive concentrates or “hard-to-place” residues.
</t>
  </si>
  <si>
    <t>Deep Isolation is structurally oriented toward licensed partnerships and partner delivery, particularly with:
Governments seeking to evaluate/plan/implement borehole disposal
Industry/commercial partners and contracted suppliers
A model that can range from planning services → building-block services → licensed IP support → end-to-end partner delivery
This is a deployment-forward collaborator with strong emphasis on stakeholder/community engagement as part of implementation.</t>
  </si>
  <si>
    <t>Regulatory fit: Whether PG-derived residues qualify and can be licensed under applicable disposal regulations/waste classifications.
Waste form requirements: Canister compatibility, packaging, and acceptance criteria.
Geologic suitability &amp; siting: Requires appropriate host rock and site characterization.
Stakeholder/community acceptance: The company emphasizes engagement, but this remains a practical constraint in any disposal pathway.</t>
  </si>
  <si>
    <t>Deep Isolation is valuable if NutriCrops pursues radionuclide concentration/removal, because it can:
Offer an “end-of-life” solution for concentrated radioactive fractions
Strengthen the overall NutriCrops solution credibility by addressing final disposition, not just extraction
Provide a partner delivery + licensed IP model suited to scaled, regulated programs</t>
  </si>
  <si>
    <t>Deep Isolation — official website | https://www.deepisolation.com/
Deep Isolation — Directional Borehole Disposal overview (site) | https://www.deepisolation.com/
Deep Isolation — Partnerships / licensed partnership model | https://www.deepisolation.com/government-license-partnerships/
Deep Isolation — Technology Demonstration (Jan 16, 2019) | https://www.deepisolation.com/technology-demonstration/
Deep Isolation — Patents page (portfolio listing) | https://www.deepisolation.com/technology/patents/
Deep Isolation — DOE-funded Project UPWARDS completion (press release) | https://www.deepisolation.com/press/deep-isolation-announces-completion-of-doe-funded-project-advancing-universal-canister-system-for-nuclear-waste-management/
American Nuclear Society — licensing to Navarro | https://www.ans.org/news/2025-09-26/article-7412/deep-isolation-licenses-its-disposal-technology-to-fed-contractor-navarro/
World Nuclear News — canister integrity / use of standard drilling tools | https://www.world-nuclear-news.org/articles/tests-confirm-integrity-of-deep-isolation-disposal-canister
Deep Isolation — Technology overview brochure (PDF) | https://www.deepisolation.com/wp-content/uploads/2024/04/20240227-Technical-Overview-Brochure-USLtr-01-email.pdf</t>
  </si>
  <si>
    <t>Deep Isolation should be positioned as a downstream systems partner—not a separation/cleanup innovator. The right way to use them in the NutriCrops ecosystem is to:
Engage after you define the process outputs (what radionuclides are separated, in what form, at what concentration)
Use them to evaluate disposal architecture feasibility for those outputs (or to inform early design constraints so you don’t create an “undisposable” residue)</t>
  </si>
  <si>
    <t>DISA Technologies, Inc.</t>
  </si>
  <si>
    <t>DISA Technologies, Inc. is a minerals liberation and remediation technology company focused on recovering value from mined ore and legacy mine waste while reducing environmental risk. Its core platform, High-Pressure Slurry Ablation (HPSA), is a mechanical (not chemical) process designed to separate target minerals from gangue and isolate contaminant-bearing fractions to enable on-site cleanup and/or controlled off-site disposal.</t>
  </si>
  <si>
    <t>Casper, Wyoming, USA</t>
  </si>
  <si>
    <t>https://www.disausa.com</t>
  </si>
  <si>
    <t>Minerals liberation / separation from mined ore, tailings, and legacy waste
Mine waste remediation (including uranium mine waste)
Upgrading critical minerals by isolating target mineral fractions
Reducing contaminated mass that must be disposed off-site</t>
  </si>
  <si>
    <t xml:space="preserve">High-Pressure Slurry Ablation (HPSA) — What it does
HPSA is a wet slurry, particle-to-particle collision process intended to erode mineral fines from the surfaces of larger particles and then separate fractions by size/behavior.
The EPA fact sheet describes a typical HPSA workflow as:
Separate clays/silts (very fine fraction) that are too small to treat effectively with HPSA
Ablation in a wet slurry where collisions erode mineral fines from particle surfaces
Wet screening to split eroded fines from coarser particles
Process-water treatment &amp; recycle
Dewater treated/untreated fines and clean coarse fraction; dispose fines/residuals off-site as needed
What it removes (evidence)
EPA/Navajo Nation EPA treatability work explicitly evaluated the ability of HPSA to remove radium-226 and uranium from uranium mine waste (bench-scale + field demonstrations).
</t>
  </si>
  <si>
    <t xml:space="preserve">Why DISA is potentially relevant now
DISA’s platform has documented evaluation for removing Ra-226 and uranium from solid waste streams—i.e., the same radionuclide “family” problem NutriCrops is targeting.
DISA has a first-of-its-kind NRC license approved for using HPSA to remediate abandoned uranium mine waste, which materially strengthens near-term credibility and field-operability.
Where phosphogypsum fit is uncertain (key technical caution)
Phosphogypsum is typically already a fine, powdery CaSO₄ matrix. HPSA’s EPA-described flow relies on producing a meaningful “treated coarse fraction” and segregating a smaller “fines fraction” for disposal. In uranium mine waste, coarse rock is common; in phosphogypsum, the mass may behave more like “fines,” which could reduce the advantage of HPSA unless you can:
agglomerate / pelletize feed, or
exploit distinct radionuclide-bearing micro-phases that can still be separated mechanically, or
use HPSA as a pre-treatment step before chemical capture.
</t>
  </si>
  <si>
    <t>NRC approval: NRC approved DISA’s license application to use HPSA for remediation; NRC describes HPSA as a mechanical process that separates mine waste into fractions, with uranium in one fraction for recovery/disposal and another fraction left onsite.
EPA + Navajo Nation EPA treatability study: EPA states it conducted a treatability study (Summer 2022; fact sheet published Aug 2025) evaluating removal of Ra-226 and uranium, including field demonstrations at multiple sites.
Industry positioning: ANS reporting describes DISA’s intent to deploy via demonstration projects and notes external validation as a “viable treatment technology” by EPA, Navajo Nation EPA, and Idaho National Laboratory (as reported).</t>
  </si>
  <si>
    <t>DISA positions HPSA as patented “liberation technology” and frames it as applicable to both mining and remediation markets.
NRC documentation reinforces the process framing as mechanical mineral separation (important: not solvent extraction; potentially simpler permitting depending on use case).</t>
  </si>
  <si>
    <t>Field demonstrations / treatability testing with public agencies (e.g., EPA + Navajo Nation EPA)
Regulatory-forward implementation (NRC licensing pathway already achieved for uranium mine waste remediation)
Likely to engage as a technology provider + pilot operator for site-specific demonstrations, with success measured by meeting cleanup thresholds and minimizing off-site disposal volumes (aligned with the EPA treatability study objectives).</t>
  </si>
  <si>
    <t>Feedstock compatibility: PG particle size distribution and mineralogy vs HPSA’s coarse/fines separation logic
Regulatory pathway: NRC license referenced for uranium mine waste remediation; PG/TENORM pathways may differ by jurisdiction and classification
End-of-life for concentrates: Fines/residuals likely require licensed disposal (similar to mine waste case).
Water management: Process water treatment and recycle is part of the system; local water constraints and treatment requirements matter.</t>
  </si>
  <si>
    <t>A mechanical radionuclide-reduction pathway (potentially simpler than chemical-only approaches)
A validated remediation narrative tied to EPA testing and NRC licensing
A pragmatic “reduce the contaminated mass” strategy that could pair with other approaches (chemical capture, stabilization, reuse pathways)</t>
  </si>
  <si>
    <t xml:space="preserve">DISA Technologies — official site (HPSA overview) | https://www.disausa.com/
DISA Technologies — About Us | https://www.disausa.com/about-us
EPA Fact Sheet (Aug 2025): HPSA treatability study; Ra-226 and uranium removal | https://www.epa.gov/system/files/documents/2025-07/epa-factsheet-nnaum-high-pressure-slurry-ablation-treatability-study-results.pdf
NRC Press Release (Sept 30, 2025): NRC approves license for DISA HPSA | https://www.nrc.gov/sites/default/files/cdn/doc-collection-news/2025/25-060.pdf
American Nuclear Society (Apr 3, 2025): DISA seeks NRC license; Casper, WY HQ; HPSA description | https://www.ans.org/news/2025-04-03/article-6913/disa-seeks-nrc-license-for-its-uranium-mine-waste-remediation-tech/
DISA contact page (Westminster, CO address) | https://www.disausa.com/contact-3
</t>
  </si>
  <si>
    <t>f NutriCrops is pursuing a near-term pilot, DISA is worth scoping as a rapid validation partner under a “PG fit test”:
Does HPSA produce a clean fraction and a concentrated radionuclide fraction from PG at meaningful yields?
What pre-processing (agglomeration/pelletization) is needed to create a treatable “coarse fraction”?
What is the disposal plan for concentrates (and can partners like Clean Harbors or others accept it)?
DISA could be a high-leverage pilot if the physical-separation concept holds for PG.</t>
  </si>
  <si>
    <t>Allonnia Biotechnology</t>
  </si>
  <si>
    <r>
      <t>Allonnia</t>
    </r>
    <r>
      <rPr>
        <sz val="11"/>
        <color rgb="FF000000"/>
        <rFont val="Calibri"/>
        <family val="2"/>
        <scheme val="minor"/>
      </rPr>
      <t> is a biotech cleantech company (“bio-ingenuity company™”) that designs and deploys biological solutions to transform waste into value and remediate environmental contaminants using engineered microbes, enzymes, and proteins. The company aims to address urgent industrial and environmental problems — from persistent chemical contaminants to mining waste — by leveraging synthetic biology and environmental bioengineering to deliver scalable remediation and resource recovery technologies. Allonnia’s approach blends biology, engineering, and environmental science to reduce waste liabilities and improve material recovery. </t>
    </r>
  </si>
  <si>
    <t>Boston, Massachusetts, USA</t>
  </si>
  <si>
    <t>https://www.allonnia.com/</t>
  </si>
  <si>
    <t xml:space="preserve">Allonnia applies biological systems and synthetic biology platforms to:
Bioremediation of environmental contaminants
Waste remediation and valorization
Water and wastewater treatment
Mining waste processing and mineral recovery
Emerging contaminant remediation (e.g., PFAS)
Upcycling waste into valuable products
Key branded technologies include:
SAFF® (Surface Active Foam Fractionation) – rapid PFAS separation and concentration
1,4 D-Stroy™ – microbial elimination of 1,4-dioxane
D-Solve™ – biosolution for mine waste gangue separation and critical mineral recovery
RE-Cover™ – rare earth recovery from waters using proteins
</t>
  </si>
  <si>
    <t xml:space="preserve">Allonnia’s approaches leverage engineered biology and integrated systems:
A. Environmental Bioinformatics &amp; Discovery
Allonnia uses advanced bioinformatic tools to identify natural and engineered microorganisms, enzymes, and proteins that can target specific contaminants or extract valuable elements from complex waste streams.
B. Synthetic Biology &amp; Microbial Engineering
The company designs and tests microbes and proteins capable of transforming contaminants or binding specific materials to accelerate separation and degradation, such as microbes that break down toxic organic chemicals.
C. Integrated Deployed Systems
Allonnia integrates its bio-products into engineered field-ready systems, such as:
SAFF® – uses rising air bubbles to concentrate PFAS compounds from water for destruction.
1,4 D-Stroy™ – introduces proprietary microbes in situ to convert 1,4-dioxane into benign compounds.
D-Solve™ – deploys biosolutions to dissolve and remove problematic gangue minerals in mining, enhancing concentrate quality.
</t>
  </si>
  <si>
    <t xml:space="preserve">Allonnia does not currently develop technologies explicitly for radionuclide removal or TENORM materials. Its core commercial products to date focus on:
PFAS remediation from water (high maturity area).
Biological degradation of organic contaminants like 1,4-dioxane.
Mining waste bio-processing to improve mineral extraction (D-Solve™).
However, relevant adjacent elements include:
Biological transformation and separation capabilities that could be conceptually adapted to immobilize or modify certain radionuclide species under the right research program.
Expertise in bio-based upcycling of metals and mining wastes, suggesting that Allonnia could be a biotech ideation partner if a biological route to radionuclide transformation or binding (e.g., engineered biosorption of Ra, U) were explored.
Bottom line (18–24 months): Allonnia does not have an existing product that directly addresses phosphogypsum radionuclides, but some of its platforms (bio-extraction, engineered microbes, bio-separation) could be exploratory adjacent components if a targeted R&amp;D track were initiated.
</t>
  </si>
  <si>
    <t xml:space="preserve">Founded in 2020 as a spin-out from Ginkgo Bioworks’ Ferment Consortium with a $40M Series A to pursue biotech waste solutions.
Raised &gt;$100M total funding following a recent Series A extension / growth round, attracting investors including Bison Ventures, General Atlantic, BHP Ventures, Viking Global Investors, and Pivotal Capital Partners.
Deployed multiple technologies into the field, including:
SAFF® for PFAS separation.
D-Solve™ for mining waste / metal recovery (pilot-level and demonstration-level deployments, including on mine sites).
Partnerships and distribution channels include collaborations with EPOC Enviro for SAFF technology in North America.
Ongoing explorations include biosensor development for PFAS and other contaminants.
</t>
  </si>
  <si>
    <t xml:space="preserve">Allonnia’s technologies are built on biological and synthetic biology R&amp;D, with multiple proprietary platforms and likely patented elements (protein/ligand design, microbial cleanup strategies).
Not focused on radioactive species or TENORM IP at present.
Its commercial products span water treatment and mining waste bio-processing — foundational elements that could inform future biologically-inspired radionuclide approaches if pursued.
</t>
  </si>
  <si>
    <t xml:space="preserve">Allonnia engages in industry partnerships to deploy its biological systems in environmental remediation and mining contexts.
Its structure emphasizes field-ready technology rollouts (e.g., SAFF®), pilot demos, and integration with partner operations.
Allonnia is open to expanding applications of its platforms, though currently targeted at emerging contaminants and waste valorization arenas.
</t>
  </si>
  <si>
    <t xml:space="preserve">Lack of current direct radioactive remediation products
Need for radioactivity-qualified biological agents and regulatory safety validation
Biotech solutions must be adapted to the chemical and physical nature of TENORM and phosphogypsum, which differs from PFAS or mining waste
</t>
  </si>
  <si>
    <t xml:space="preserve">Biotechnological breadth: Allonnia’s expertise in engineered biology and contaminant targeting systems positions it as a conceptual collaborator for future biological radionuclide separation approaches.
Cross-domain systems: Its ability to integrate biology with engineered systems could inform new research tracks within NutriCrops.
Deep funding and R&amp;D capacity suggest it could partner in exploratory projects if a biological route to radioactive element remediation is justified.
</t>
  </si>
  <si>
    <t xml:space="preserve">Allonnia — official website | https://www.allonnia.com/
Allonnia company “bio-ingenuity” overview | https://allonnia.com/ (Allonnia Transformative in Nature) :contentReference[oaicite:21]{index=21}
Allonnia biotech profile (environmental and waste technology) | Craft.co Allonnia | https://craft.co/allonnia :contentReference[oaicite:22]{index=22}
Allonnia funding news (~$20M extension, &gt;$100M total) | https://www.businesswire.com/news/home/20251210512731/en/Allonnia-Raises-More-Than-%2420-Million-to-Accelerate-Deployment-of-Critical-Materials-Biotechnology :contentReference[oaicite:23]{index=23}
Waste Dive funding &amp; PFAS mention | https://www.wastedive.com/news/allonnia-pfas-remediation-wastewater-biotech/686922/ :contentReference[oaicite:24]{index=24}
Allonnia launch from Ginkgo Bioworks &amp; history | https://www.biospace.com/allonnia-launches-from-ginkgo-bioworks-ferment-consortium-with-40m-series-a-to-address-critical-problems-in-waste-remediation-with-synthetic-biology-appoints-nicole-richards-as-ceo :contentReference[oaicite:25]{index=25}
</t>
  </si>
  <si>
    <t xml:space="preserve">Allonnia is not currently a phosphogypsum remediation company, but its biotechnology platforms and waste-to-value ethos offer conceptual inspiration. If NutriCrops were to explore bio-based capture, transformation, or complexation of radionuclides (e.g., Ra, U), Allonnia could be considered as a blue-sky research partner for early discovery phases — particularly to investigate whether biological mechanisms can be engineered for radionuclide binding or transformation.
</t>
  </si>
  <si>
    <t>Perma-Fix</t>
  </si>
  <si>
    <t xml:space="preserve">Perma-Fix Environmental Services is a U.S.-based environmental and nuclear services company specializing in the treatment, stabilization, and disposal of low-level radioactive, mixed radioactive, hazardous, and industrial wastes. Unlike logistics-focused waste firms, Perma-Fix operates active treatment technologies that chemically and physically alter waste to reduce hazard, immobilize radionuclides, and meet regulatory disposal requirements.
Perma-Fix is not a startup, but it behaves like an innovation-active operator in radioactive waste treatment — frequently designing custom treatment trains for non-standard waste streams. This makes it unusually relevant for first-of-kind or pilot radioactive residue streams such as those that could emerge from phosphogypsum processing.
</t>
  </si>
  <si>
    <t>Atlanta. GA, USA</t>
  </si>
  <si>
    <t>https://www.perma-fix.com</t>
  </si>
  <si>
    <t xml:space="preserve">Low-level radioactive waste (LLRW) treatment
Mixed radioactive and hazardous waste processing
TENORM and non-standard radioactive waste
Waste stabilization and solidification
Thermal treatment (including radiological residues)
Waste form qualification for disposal
</t>
  </si>
  <si>
    <t xml:space="preserve">Perma-Fix’s relevance lies in its ability to treat and condition radioactive residues, not just move them.
A. Chemical Treatment &amp; Stabilization
Chemical adjustment of waste streams to immobilize radionuclides
Conversion of liquid or semi-solid radioactive residues into stable solid waste forms
Particularly relevant for radium-bearing residues that cannot be disposed of “as is”
B. Thermal Treatment
Thermal desorption, incineration, and vitrification-adjacent approaches (depending on waste class)
Used to reduce volume and destroy hazardous organic components in mixed wastes
C. Custom Waste Treatment Trains
Perma-Fix routinely develops bespoke treatment flowsheets for:
DOE legacy waste
Research residues
Pilot-scale radioactive materials
This is exactly the profile needed when new PG-derived residues are created for the first time
</t>
  </si>
  <si>
    <t xml:space="preserve">Perma-Fix does not remove radionuclides from phosphogypsum directly, but it is critical if NutriCrops succeeds in:
Concentrating radium-226 or uranium into a secondary waste stream
Generating sludges, fines, or chemical residues that exceed reuse thresholds
Within 18–24 months, Perma-Fix can realistically:
Accept pilot-scale radionuclide concentrates
Stabilize and condition residues to meet disposal criteria
Support regulatory discussions by defining credible end-of-life pathways
In short: Perma-Fix makes NutriCrops implementable.
</t>
  </si>
  <si>
    <t xml:space="preserve">Long-standing contractor to the U.S. Department of Energy for radioactive and mixed waste treatment
Active operations handling:
Low-level radioactive waste
Mixed hazardous/radioactive waste
Research and pilot-origin radioactive materials
Regularly reports revenues tied to custom waste treatment campaigns, not just disposal logistics
</t>
  </si>
  <si>
    <t xml:space="preserve">IP is largely process know-how and proprietary treatment recipes
Competitive advantage lies in:
Licensing
Operating permits
Workforce expertise
This type of “operational IP” is often more valuable than patents in radioactive waste work
</t>
  </si>
  <si>
    <t xml:space="preserve">Contracted technical services partner
Comfortable working with:
National labs
Universities
Startups
Federal and state regulators
Collaboration style is execution-focused, risk-aware, and regulator-aligned
Does not seek IP ownership; focuses on defined scopes and deliverables
</t>
  </si>
  <si>
    <t xml:space="preserve">Waste acceptance criteria (WAC) must be clearly defined
Treatment costs may be material at scale
Best used for pilot, demonstration, and early deployment, not bulk PG disposal
</t>
  </si>
  <si>
    <t xml:space="preserve">Perma-Fix solves the hardest non-technical problem in NutriCrops:
“What do we do with the radioactive material once we successfully separate it?”
By providing a credible, licensed answer, Perma-Fix:
Unlocks pilot approvals
De-risks startup collaboration
Strengthens regulator confidence
Prevents the project from stalling at the “residue problem”
</t>
  </si>
  <si>
    <t xml:space="preserve">Perma-Fix Environmental Services — official website | https://www.perma-fix.com/
Perma-Fix corporate overview | https://www.perma-fix.com/about/
Perma-Fix nuclear and mixed waste services | https://www.perma-fix.com/services/
Perma-Fix investor relations (NYSE: PESI) | https://ir.perma-fix.com/
DOE contractor references (Perma-Fix facilities) | https://www.energy.gov/em
</t>
  </si>
  <si>
    <t xml:space="preserve">Perma-Fix addresses whether that reduction pathway is allowed to exist in the real world.
From an ecosystem-design perspective, Perma-Fix is a keystone deployment enabler, even though it is not a startup. Omitting this role would leave NutriCrops structurally incomplete.
</t>
  </si>
  <si>
    <t>Veolia Nuclear Solutions</t>
  </si>
  <si>
    <t>Veolia Nuclear Solutions is the nuclear-focused business unit of Veolia, a global leader in environmental services, waste management, and industrial remediation. The division integrates decades of nuclear cleanup experience with advanced radioactive waste treatment technologies, including those acquired through Veolia’s acquisition of Kurion—a recognized innovator in modular radionuclide separation systems.
Veolia Nuclear Solutions operates at the highest levels of regulatory scrutiny, delivering engineered, deployable solutions for radioactive waste processing, stabilization, and disposal across nuclear cleanup, decommissioning, and legacy waste programs. Unlike startups or research labs, Veolia is a solution integrator and operator, capable of taking validated technologies to licensed, real-world deployment.</t>
  </si>
  <si>
    <t>United States (multiple operational sites and project locations)
Global headquarters and operations across North America, Europe, and international nuclear cleanup sites.</t>
  </si>
  <si>
    <t>https://www.veolianuclearsolutions.com/
Veolia Group: https://www.veolia.com/</t>
  </si>
  <si>
    <t>Radioactive waste processing and treatment
Radionuclide separation and concentration
Nuclear facility cleanup and decommissioning
Modular waste treatment system deployment
Regulatory-compliant radioactive materials management</t>
  </si>
  <si>
    <t>Ion-Exchange &amp; Selective Radionuclide Separation
Proven ion-exchange media for radionuclides (e.g., cesium, strontium, radium analogs)
Selective separation of radioactive constituents from complex matrices
NutriCrops relevance:
Potential adaptation to selectively remove radioactive elements from phosphogypsum, enabling downstream reuse or valorization of treated material.
Modular Radioactive Waste Treatment Systems
Transportable, modular processing units
Designed for deployment at contaminated or waste-generation sites
NutriCrops relevance:
Well-aligned with pilot-scale or phased PG treatment, avoiding large centralized infrastructure.
Engineering-Led Treatment Integration
Full-system engineering (feedstock → treatment → waste residuals)
Integration with disposal or isolation pathways
NutriCrops relevance:
Solves the “engineering gap” between lab-scale separation concepts and real-world PG operations.
4Nuclear-Grade Regulatory Compliance
Designs systems to meet nuclear safety, environmental, and occupational standards
Extensive experience with licensing and regulator engagement
NutriCrops relevance:
Introduces nuclear-grade safety rigor into PG remediation discussions, strengthening regulatory and public confidence.</t>
  </si>
  <si>
    <t>Veolia is relevant after:
Radionuclides are characterized (USGS, universities)
Separation concepts are validated (labs, startups)
They are not a discovery partner, but a delivery partner.</t>
  </si>
  <si>
    <t>Active participation in nuclear cleanup and decommissioning projects
Deployment of radioactive waste treatment systems in operational environments
Integration and commercialization of Kurion-developed technologies
Longstanding role as a trusted contractor for nuclear and environmental remediation programs
(While Veolia does not currently operate PG-specific projects, its systems are proven in more stringent nuclear waste contexts.)</t>
  </si>
  <si>
    <t>Proprietary radionuclide separation and waste treatment technologies
Active patent portfolio derived from:
Kurion technology base
Veolia in-house nuclear engineering
Commercial IP protection and structured licensing models
Suitable for:
Joint pilots
Adaptation agreements
Commercial deployment post-validation</t>
  </si>
  <si>
    <t>Commercially oriented partnerships
Interested in:
Paid pilots
Joint development with clear scope
Licensing or service-based delivery models
Requires:
Clearly defined technical requirements
Demonstrated feasibility
Commercial or policy rationale</t>
  </si>
  <si>
    <t>Requires:
Defined PG feedstock characteristics
Clear regulatory classification of treated PG
Business case or funded pilot
Less flexible for speculative exploration</t>
  </si>
  <si>
    <t>One of the few actors globally capable of near-term PG treatment deployment
Brings:
Engineering discipline
Regulatory credibility
Operational scale
De-risks the transition from innovation → implementation</t>
  </si>
  <si>
    <t>Veolia Nuclear Solutions should be positioned as a late-stage accelerator and deployment partner, never as a lead innovator.
Used correctly, Veolia:
Makes NutriCrops real, not theoretical
Signals seriousness to regulators and industry
Strengthens Africa-relevant scalability narratives
Used too early, it risks over-commercializing an innovation-stage program.</t>
  </si>
  <si>
    <t>Backed by Veolia Group (global environmental services leader)
Long-term nuclear services contracts
Strong balance sheet and execution capacity</t>
  </si>
  <si>
    <t>Deep Isolation is a U.S.-based deep-tech company specializing in advanced isolation and containment solutions for radioactive waste, using directional drilling and subsurface engineering technologies adapted from the oil &amp; gas sector.
Originally focused on spent nuclear fuel and high-level radioactive waste, Deep Isolation has evolved into a radioactive risk-management and isolation specialist, working closely with DOE, national laboratories, regulators, and nuclear operators.
The company does not operate in agriculture, but its technologies are highly relevant for removing, isolating, or permanently segregating radioactive fractions from complex waste streams—making it a strategic enabling partner for NutriCrops.</t>
  </si>
  <si>
    <t>HQ: California, with national project footprint</t>
  </si>
  <si>
    <t>Radioactive waste isolation and containment
Subsurface engineering &amp; directional drilling
Risk-informed nuclear waste management
Long-term radioactive material immobilization
Regulatory-compliant waste isolation systems</t>
  </si>
  <si>
    <t>Isolation of Radioactive Fractions
Physical separation of radioactive materials from bulk waste
Permanent isolation of concentrated radionuclide streams
Design of disposal pathways compliant with nuclear safety standards
Risk-Based Waste Pathway Design
Quantitative risk assessment of radioactive materials
Scenario modeling for long-term containment
Regulatory-aligned safety case development
Modular, Scalable Containment Concepts
Small-footprint, modular isolation systems
Flexible deployment options (site-specific designs)
Regulatory &amp; Stakeholder Interface
Experience engaging with nuclear regulators
Development of safety cases and compliance documentation</t>
  </si>
  <si>
    <t>Deep Isolation is not about treating PG directly, but about:
Managing radioactive residues post-treatment
Enabling PG reuse by solving the “radioactive liability” problem</t>
  </si>
  <si>
    <t>Active collaborations with U.S. Department of Energy
Pilot and design studies for radioactive waste disposal
Peer-reviewed publications and conference participation in nuclear waste management
Engagement with national laboratories and utilities on isolation concepts
(Deep Isolation has not deployed PG-specific projects yet, which is expected and acceptable for NutriCrops.)</t>
  </si>
  <si>
    <t>Proprietary IP in:
Subsurface isolation system design
Modular disposal architectures
IP is not restrictive for collaboration when scoped to:
Joint pilots
Use-case-specific adaptations
Pre-competitive consortia</t>
  </si>
  <si>
    <t>Strong history of:
DOE-funded collaborations
National lab engagement
Regulator-facing projects
Comfortable operating in:
Multi-partner consortia
High-scrutiny, safety-critical environments
Appropriate for work-package-based participation, not ecosystem leadership</t>
  </si>
  <si>
    <t>Requires:
Upstream separation or concentration of radionuclides
Clear regulatory scoping (PG vs nuclear waste classification)
Not relevant if PG solution avoids any radioactive concentration</t>
  </si>
  <si>
    <t>Solves the hardest unanswered question:
“What happens to the radioactive part?”
Introduces nuclear-grade rigor into PG innovation
Increases regulator and public trust
Strengthens Africa-relevant credibility by avoiding “dump-and-forget” narratives</t>
  </si>
  <si>
    <t>Official website:
https://www.deepisolation.com/
DOE &amp; nuclear waste program references:
https://www.energy.gov/ne</t>
  </si>
  <si>
    <t>Deep Isolation should be framed as a selective, downstream enabler—never as a central NutriCrops actor.
Used correctly, it:
Eliminates a key regulatory and ethical risk
Makes PG reuse pathways defensible globally
Strengthens UM6P-US positioning as responsible, science-led, and risk-aware
Used incorrectly (e.g., as a headline partner), it could confuse the agricultural mission—so positioning discipline is critical.</t>
  </si>
  <si>
    <t>Supported through:
DOE programs
Private deep-tech investment
Engages with federal and state agencies on nuclear waste solutions</t>
  </si>
  <si>
    <t>NovaMetallix</t>
  </si>
  <si>
    <t xml:space="preserve">Operator/developer focused on systematically advancing and operating mine tailings recovery projects to enable sustainable metals production from historic mineral waste deposits, with an emphasis on reclaiming land and reducing environmental impacts.
A master’s thesis case study (Aalto University) describes a Nevada tailings deposit owned by NovaMetallix and details the typical workflow: historical data analysis → sampling/assays → resource modeling → conceptual process flowsheet → capex/opex → DCF feasibility.
</t>
  </si>
  <si>
    <t>Englewood, CO, USA</t>
  </si>
  <si>
    <t>Mine tailings reprocessing (re-mining historic tailings) for metals recovery with associated land reclamation / environmental impact reduction framing.</t>
  </si>
  <si>
    <t xml:space="preserve">Evidence from an academic case study tied to a NovaMetallix-owned Nevada tailings deposit indicates capability/interest in:
Resource estimation &amp; appraisal using historical operating data + sampling/assays + spatial resource modeling
Conceptual process flowsheet design for precious metals extraction (the case study explicitly focuses on precious metals)
Techno-economic feasibility (capex/opex estimates + discounted cash flow) and process design improvements to reduce environmental impacts
</t>
  </si>
  <si>
    <t>Indirect / adjacency-based. NovaMetallix is not publicly positioned as a phosphogypsum/radiological remediation company. The relevance is through mineral waste processing + separation/flowsheeting + project development skills that could transfer to PG pathways if the PG solution route is based on separation/extraction of contaminants or process design for safe reuse, rather than purely immobilization or regulatory handling.</t>
  </si>
  <si>
    <t xml:space="preserve">PitchBook profile language indicates an operating concept around “systematically advancing and operating” tailings recovery projects.
Academic thesis (2021) documents a real Nevada tailings deposit owned by NovaMetallix being taken through feasibility-style work.
Some business registry sources show mixed signals (e.g., “delinquent” status in a Colorado entity listing), which may indicate a corporate restructuring, dormancy, or data staleness—this needs confirmation.
A founder resume-style document claims an acquisition by a “confidential large US resource platform” (not independently verified in the public record here).
</t>
  </si>
  <si>
    <t xml:space="preserve">No clear, verifiable patent/IP portfolio surfaced in these sources.
PitchBook frames the “system” as systematic project advancement/operation (business model + methodology) rather than disclosing a named proprietary process.
The thesis evidence demonstrates process design and flowsheeting, but does not identify proprietary IP owned by NovaMetallix.
</t>
  </si>
  <si>
    <t>Moderate (conditional).
Inferred from the PitchBook description (“enabling land owners and communities…”) that they may engage landowners/communities as stakeholders, but there is no strong public evidence of open co-development partnerships with external industrial players.
Practical read: likely collaborative when it advances a project or access to feedstock/site, but not obviously a “platform-for-partnership” venture.</t>
  </si>
  <si>
    <t xml:space="preserve">Domain mismatch risk: mine tailings processing ≠ phosphogypsum radiological compliance (regulatory + chemistry differences).
No explicit radionuclide evidence: nothing public indicates Ra/U/Th removal/immobilization expertise.
Entity continuity uncertainty: “delinquent”/registry noise may complicate contracting or partnership setup.
Low discoverability: absent/unclear website and limited public comms complicate sourcing and diligence.
</t>
  </si>
  <si>
    <t xml:space="preserve">Project-development muscle: feasibility, flowsheeting, capex/opex, and moving waste-to-value projects toward execution.
Mineral residue processing orientation: could contribute to “how would we engineer this at pilot scale?” discussions (even if the chemistry differs).
Stakeholder framing: tailings reprocessing often involves environmental constraints and land restoration narratives that overlap with PG’s social license/regulatory challenges.
</t>
  </si>
  <si>
    <t xml:space="preserve">PitchBook – NovaMetallix profile (description snippet): https://pitchbook.com/profiles/company/232223-14
Aalto University thesis page (NovaMetallix-owned Nevada tailings case): https://aaltodoc.aalto.fi/items/4f7c1b42-51c2-4a4b-aefd-b09fb7322043
Aalto thesis PDF (bitstream content endpoint): https://aaltodoc.aalto.fi/server/api/core/bitstreams/68cb2c55-c5cc-452d-beba-32e4fff18530/content
OpenGovCo – Colorado entity listing (Lakewood address; delinquent status noted): https://opengovco.com/business/20161540232
OpenCorporates – Colorado/Delaware branch record: https://opencorporates.com/companies/us_co/20161540232
California Companies Directory – foreign registration address (Englewood): https://ca.ltddir.com/companies/novametallixinc/
Calfee PDF (Jon Myers resume-style doc; acquisition claim): https://www.calfee.com/assets/htmldocuments/Jon%20Myers%20Data%20Shapes.pdf
MarketScreener (basic descriptor “operates as a metal production company” via director profile): https://www.marketscreener.com/insider/JON-K-MYERS-A32X60/
</t>
  </si>
  <si>
    <t xml:space="preserve">De-risking questions are:
Do you have any experience with radionuclides (Ra/U/Th) or radiological permitting constraints?
Are you primarily a project developer/operator, or do you own/partner on processing IP (leaching/adsorption/ion exchange/solidification, etc.)?
Current operating entity: Which legal entity should we contract with today (NovaMetallix vs. parent/acquirer, if applicable)?
Would you consider a joint feasibility/pilot using PG feedstock under Moroccan regulatory conditions?
</t>
  </si>
  <si>
    <t>GreenSand Corporation</t>
  </si>
  <si>
    <t xml:space="preserve">GreenSand Corporation is a materials/industrial recycling company focused on recovering residual industrial mineral waste (“stamp sand”) — a legacy waste stream from copper mining on the Lake Superior shoreline — and repurposing it into construction-grade mineral products (e.g., roofing shingle granules, fillers for building materials, underlayment, road aggregate) marketed under the brand G-Sand™.
</t>
  </si>
  <si>
    <t>Lake Linden, Michigan, USA</t>
  </si>
  <si>
    <t>Industrial mineral waste recovery &amp; reuse — converting a specific copper-containing “stamp sand” waste into value-added mineral products for construction and industrial uses.</t>
  </si>
  <si>
    <t xml:space="preserve">Mineral waste beneficiation for repurposing into aggregates and fillers.
Product formulation and material characterization for construction materials (roofing granules, road aggregates).
</t>
  </si>
  <si>
    <t xml:space="preserve">Low to Moderate (domain adjacency via waste reuse logic).
GreenSand’s core work is about converting mineral waste streams into secondary raw materials. While stamp sand is very different from phosphogypsum, the conceptual adjacency is that both are industrial residues with potential reuse pathways — but GreenSand’s model is product output (construction minerals) rather than contaminant treatment or radiological management.
There is no public evidence that GreenSand addresses radionuclide separation, remediation, or radioactive contaminants in PG or other substrates.
</t>
  </si>
  <si>
    <t xml:space="preserve">Evidence of current activity is extremely limited.
GreenSand Corporation appears conceptually listed as a business preparing to recover stamp sand and produce G-Sand™, but:
There are no recent project updates, sales, pilot reports, press releases, or funding rounds in the last decade.
Public profiles remain based on older business plan descriptions rather than realized industrial activity.
Lack of an official, maintained corporate website is a strong signal of low operational visibility.
Thus, while the corporate entity still exists, there is no clear public evidence of current ongoing operations or scale-up/commercial deployment.
</t>
  </si>
  <si>
    <t xml:space="preserve">Public listing profiles mention proprietary branding (e.g., G-Sand™) for repurposed mineral products.
No patents, proprietary treatment chemistry, or environmental remediation process technologies were identified in the limited public data.
</t>
  </si>
  <si>
    <t>Transactional / commercialization focus, with potential for product supply partnerships but not primarily co-development of new environmental treatment processes.
GreenSand is structured around monetizing an existing waste resource rather than collaborative technology R&amp;D.</t>
  </si>
  <si>
    <t xml:space="preserve">Domain mismatch: Focus on mineral waste reuse in construction materials, not contaminant removal or radiological issues.
Technical pathway gap: No indication of chemistry, separation technology, or tailored environmental remediation.
Traction uncertainty: Lack of verifiable recent activity or public reporting beyond business directory listings.
</t>
  </si>
  <si>
    <t xml:space="preserve">Waste value-chain thinking: GreenSand’s model reflects finding economic reuse from industrial residues, which is conceptually relevant to circular approaches for PG if downstream reuse pathways are part of the solution.
Implementation lens: Their work can offer a business model perspective on secondary product markets, even if the technical pathways differ.
</t>
  </si>
  <si>
    <t xml:space="preserve">GreenSand Corporation business overview &amp; waste reuse model: https://www.equitynet.com/c/greensand-corporation :contentReference[oaicite:9]{index=9}
GreenSand environmental solution listing: https://www.ventureradar.com/organisation/Greensand/67eab9ba-d125-431c-a6a5-53a77f33d544 :contentReference[oaicite:10]{index=10}
</t>
  </si>
  <si>
    <t xml:space="preserve">GreenSand is not a radiological or contaminant remediation actor; thus, for phosphogypsum, its fit is strategic high level rather than technical execution.
If your NutriCrops project explores valorization into construction mineral products, then GreenSand is conceptually interesting but not technically directive.
Direct engagement for PG decontamination or radionuclide removal would require GreenSand to partner with a technology provider (e.g., chem/bio remediation tech) since its listed business model centers on material reuse, not cleanup processes.
</t>
  </si>
  <si>
    <t>Tikal Industries</t>
  </si>
  <si>
    <t>Tikal Industries, Inc. is a climate tech startup focused on transforming industrial waste into high-value materials and extracting critical minerals through proprietary processing technologies. The company develops hybrid-geopolymer construction materials as alternatives to Portland cement and electrochemical filtration systems for extracting valuable ions (e.g., rare earth elements and other metals) from waste streams</t>
  </si>
  <si>
    <t>Chicago, IL, USA</t>
  </si>
  <si>
    <t>https://www.tikalindustries.com/</t>
  </si>
  <si>
    <t xml:space="preserve">Industrial waste valorization — converting industrial byproducts (e.g., water treatment sludge, fly ash, coal ash) into sustainable construction materials (hybrid geopolymers, BlueCem) that serve as alternatives to Portland cement.
Critical mineral extraction — using electrochemical processes to recover rare earth elements and other valuable ions from aqueous waste streams through the Bluerock filtration system
</t>
  </si>
  <si>
    <t xml:space="preserve">Hybrid geopolymers / secondary cementitious materials (SCMs): low-carbon cement alternatives produced from industrial residues.
Electrochemical ion removal (Bluerock): selective extraction of metal ions (REEs, Ni, Li, etc.) using modules resembling capacitive deionization, designed to support both contaminant removal and value recovery.
</t>
  </si>
  <si>
    <t xml:space="preserve">Tikal’s model targets industrial mineral waste and contaminant extraction. While not directly PG-specific, their technology portfolio — particularly ion extraction and geopolymer production from mineral/aqueous residues — is conceptually relevant if you are exploring:
Extraction of radionuclides or valuable ions from PG leachate or process streams, and/or
Conversion of treated PG into low-carbon construction materials.
However, no public evidence shows they have directly worked on phosphogypsum or radionuclide streams. Their current focus is on metal/REE recovery and heavy metal removal from aqueous streams, which could be adapted to PG contexts.
</t>
  </si>
  <si>
    <t xml:space="preserve">Product / technology status
Hybrid geopolymer/BlueCem materials: actively marketed on the company website with pricing and project engagement language.
Bluerock filtration technology: publicly reported as being in pilot-scale R&amp;D, with ongoing improvements to selectivity and plans for broader commercialization.
Programs / partnerships
Selected for the Mining Water Technology Pilot Program alongside other startups to field technologies for sustainable mining waste management, including production of BlueCem from mine water treatment byproducts.
Funding / traction
Seed-stage venture that has raised funding (varied estimates from PitchBook sources; seed rounds, accelerators, and early funding with mHUB and other climate tech backers).
</t>
  </si>
  <si>
    <t xml:space="preserve">The company claims proprietary sequential processing and electrochemical methods for extracting critical minerals and creating construction materials.
Public reporting notes third-party testing and early validation of extractive systems (e.g., Bluerock) and partnerships exploring commercial application.
No clear published patent portfolio was found in open sources; technology appears to be in lab/pilot development with early intellectual property in electrochemical systems.
</t>
  </si>
  <si>
    <t xml:space="preserve">Moderate-High — Tikal actively seeks:
partner evaluation projects,
custom formulation work with waste producers,
industry pilots with mining and construction companies.
However, collaborations appear commercial/engagement centric (project work/consulting and co-development under contract).
</t>
  </si>
  <si>
    <t xml:space="preserve">Not PG-specific: No public evidence of handling phosphogypsum or radiological contaminants specifically.
Pilot-stage tech: Electrochemical systems require further R&amp;D for industrial scale.
Data mismatch risk: Some business intelligence data (PitchBook) may conflate with a distinct water IoT entity.
Commercialization pathway: BlueCem and geopolymers have adoption barriers in existing materials markets.
</t>
  </si>
  <si>
    <t xml:space="preserve">Ion extraction capability: Electrochemical technology aligns with removing charged species (e.g., metals, potentially radionuclides) from aqueous streams if adapted.
Waste-to-value focus: Dual-product model (valuable minerals + structural materials) parallels valorization of PG waste streams.
Pilot programs and partnerships: Inclusion in mining technology accelerator programs signals early industrial interest.
</t>
  </si>
  <si>
    <t xml:space="preserve">Tikal Industries — Waste to hybrid geopolymer materials: https://www.tikalindustries.com/ (“Not Your Granddaddy’s Cement…”) :contentReference[oaicite:28]{index=28}
Tikal Industries — Critical mineral reclamation + reuse from secondary waste streams (WEF UpLink): https://uplink.weforum.org/s/uplink-contribution/a01TE00000CBgGVYA1 :contentReference[oaicite:29]{index=29}
Tikal Industries Bluerock filtration and pilot info: https://resource-recycling.com/e-scrap/2025/08/21/tikal-industries-bluerock-filtration-system-targets-rare-earths/ :contentReference[oaicite:30]{index=30}
Tikal Industries mining water tech pilot inclusion: https://miningtechnologyinsights.com/2025/07/10/innovative-startups-revolutionize-mining-water-technology/ :contentReference[oaicite:31]{index=31}
Tikal Industries profile (VentureRadar): https://www.ventureradar.com/organisation/Tikal%20Industries/4f3e0844-1e2d-41ac-bb86-26780a973524 :contentReference[oaicite:32]{index=32}
</t>
  </si>
  <si>
    <t xml:space="preserve">If evaluating Tikal for PG work, consider:
Technical fit test: Can the Bluerock electrochemical system be tuned for radionuclide ions (e.g., Ra²⁺) in PG leachate?
Pilot scope design: Waste feed characterization + small-scale electrochemical extraction tests.
Geopolymer integration: Can treated residue be integrated into low-leaching geopolymer matrices for safe reuse?
</t>
  </si>
  <si>
    <t>Exterra Carbon Solutions</t>
  </si>
  <si>
    <t>Exterra Carbon Solutions is a Canadian cleantech and negative-emissions technology company focused on transforming mining waste and other mineral residues into durable carbon sinks and valuable low-carbon products. Through engineered mineral carbonation, the company permanently sequesters CO₂ while valorizing legacy industrial waste into materials such as low-carbon metal oxides and critical mineral concentrates.</t>
  </si>
  <si>
    <t>Montreal, Canada</t>
  </si>
  <si>
    <t>https://exterracarbon.com/</t>
  </si>
  <si>
    <t xml:space="preserve">Engineered mineral carbonation for durable CO₂ sequestration
Waste-to-value processing of legacy mining waste (e.g., asbestos mine tailings)
Production of low-carbon minerals and critical metal concentrates (e.g., magnesium oxide, nickel) from waste feedstocks
</t>
  </si>
  <si>
    <t xml:space="preserve">LOW™ (Low-carbon Oxide from Waste): Converts mineral wastes into low-carbon metal oxides with minimized emissions.
ROC™ (Reactive Oxide to Carbonate): Uses low-carbon oxides to permanently mineralize CO₂ without separate carbon capture steps.
Integrated carbon sequestration + material production: Creates carbon-neutral building materials and battery-relevant minerals.
</t>
  </si>
  <si>
    <t xml:space="preserve">Exterra is relevant to NutriCrops if the phosphogypsum pathway involves:
Mineral carbonation or stabilization of PG via engineered conversion to carbonates
Valorization of PG into stable, lower-risk mineral products
Integration of carbon sequestration with industrial residues (PG could be viewed analogously to mining tailings in engineered carbonation contexts)
However, no public evidence directly shows Exterra deploying technology on PG or radioactive contaminants. Their work is currently focused on mining waste, particularly asbestos tailings, and CO₂ mineralization.
</t>
  </si>
  <si>
    <t xml:space="preserve">Secured a CAD $20 million (~USD $14.5 M) Series A financing round co-led by Clean Energy Ventures and BDC Capital, with participation from Investissement Québec, Government of Quebec, MOL Switch, and Kinetics. The total funding raised approaches CAD $32 million. Pre-commercial pilots &amp; de-risking
Pre-commercial pilot operations have been run in Val-des-Sources, Quebec, helping validate the processes before major build-out.
Industrial project planning
Planned development of Hub I — a major facility in Quebec to process over 300,000 t/year of asbestos mine tailings (AMT) into carbon-neutral minerals and storage. Construction is targeted to begin in 2027.
Partnerships &amp; agreements
Strategic partnerships with BASF, Énergir, WSP, and Winsome Resources to expand carbon mineralization and waste valorization applications.
Pre-purchase agreements for carbon removal products (e.g., with Frontier Climate) provide market validation.
</t>
  </si>
  <si>
    <t xml:space="preserve">Dual-process platform (LOW™ + ROC™) appears proprietary and central to Exterra’s value proposition.
Public reporting and partnerships suggest industrial innovation and scale-targeted process engineering, though specific patent families are not enumerated in the accessible sources.
</t>
  </si>
  <si>
    <t xml:space="preserve">Exterra engages in strategic partnerships with industry actors and climate initiatives (e.g., carbon credit buyers, materials producers). Its financing and alliances indicate willingness to co-develop and integrate with external supply chains and technology partners.
</t>
  </si>
  <si>
    <t xml:space="preserve">PG specificity gap: Technology not yet demonstrated on PG or radiological contaminants.
Capital intensity: Industrial facility development (Hub I) requires significant infrastructure and permits.
Feedstock focus: Current use cases center on mining waste (particularly AMT), which is compositionally distinct from phosphogypsum.
</t>
  </si>
  <si>
    <t xml:space="preserve">Waste-to-value orientation: Technological synergy with processes that transform industrial residues into stable products and carbon sinks.
Carbon mineralization expertise: Engineered carbonation offers a chemically analogous pathway to reframe PG from a liability to a material for permanent sequestration.
Funding + partnerships: Substantial Series A backing and industrial alliances illustrate investor confidence and strategic alignment with climate/industry trends.
</t>
  </si>
  <si>
    <t xml:space="preserve">Exterra Carbon Solutions company overview (mineral carbonation): https://console.carbonremoval.ca/companies/exterra-carbon-solutions :contentReference[oaicite:21]{index=21}
Series A funding and commercialization (Newswire): https://www.newswire.ca/news-releases/exterra-carbon-solutions-raises-20m-series-a-to-transform-mining-waste-into-low-carbon-critical-minerals-amp-co2-sequestration-869357450.html :contentReference[oaicite:22]{index=22}
Company profile &amp; funding details (Tracxn): https://tracxn.com/d/companies/exterra-carbon-solutions/__u0sJL8EM-vRkq_8JkW5Qb0rYLHmcRUmsWH66I_HSYUY :contentReference[oaicite:23]{index=23}
Innovation context + process description: https://www.innovationzero.com/event-partners/exterra-carbon-solutions :contentReference[oaicite:24]{index=24}
</t>
  </si>
  <si>
    <t xml:space="preserve">Exterra’s platform merits attention as a technology partner if NutriCrops’ phosphogypsum project includes:
development of mineral carbonation stabilization pathways for radionuclide-bearing PG,
leveraging industrial residue transformation skills to reframe PG as a stable, low-carbon product, or
embedding carbon capture/mineralization with PG waste processing.
Risk remains that Exterra’s current focus may not easily transfer to radioactive PG streams without additional R&amp;D. A targeted technical scoping conversation with Exterra (e.g., feasibility of applying LOW™/ROC™ to PG chemistry) is recommended.
</t>
  </si>
  <si>
    <t>Neolithe</t>
  </si>
  <si>
    <t xml:space="preserve">Néolithe is a French industrial startup that develops and deploys a patented “Accelerated Fossilization” process to transform non-recyclable, non-hazardous, mixed industrial waste into mineral aggregates (trademarked Anthropocite) that can be used in construction applications such as concrete and building materials. This provides a circular alternative to incineration and landfilling and creates a negative carbon footprint by sequestering carbon within the product.
</t>
  </si>
  <si>
    <t>Chalonnes-sur-Loire / Beaulieu-sur-Layon (Maine-et-Loire), France</t>
  </si>
  <si>
    <t>https://neolithe.com/</t>
  </si>
  <si>
    <t>Industrial treatment of non-recyclable waste via a proprietary Accelerated Fossilization process to produce mineral aggregates usable in the construction sector (concrete, non-structural building materials).</t>
  </si>
  <si>
    <t xml:space="preserve">“Accelerated Fossilization” technology:
• Crush and powder mixed waste
• Mix with mineral binders
• Press into solid mineral aggregates without heat
• Resulting product (Anthropocite) sequesters carbon and replaces natural aggregates.
Process characteristics:
• Mostly mechanical, no heating required
• No emissions (smoke, odour, wastewater)
• Carbon stored (~300+ kg CO₂ per tonne of waste treated) within produced aggregates.
</t>
  </si>
  <si>
    <t xml:space="preserve">Néolithe’s value lies in mineral waste transformation and solidification/stabilization logic — turning mixed waste into stable mineral aggregates. This mechanism shows a structural similarity to potential PG pathways that involve:
Converting phosphogypsum into stable, reusable aggregates
Capturing contaminants within a solid matrix rather than dispersing them
However, Néolithe does not currently target hazardous/radioactive contaminants or radionuclide removal from phosphogypsum — its focus is on non-hazardous industrial waste.
</t>
  </si>
  <si>
    <t xml:space="preserve">Industrial scale-up &amp; plants
Multiple industrial sites:
• First industrial unit operational (Beaulieu-sur-Layon) treating ~10,000 t/year.
• Second industrial facility (~31,000 m²) planned near Angers, targeting up to 100,000 t/year by end-2026.
Employee and resources
~200+ employees working on R&amp;D, deployment, and operations.
Funding progress
Significant fundraising:
• Cumulative ~€80M+ raised through multiple rounds, including €60M dedicated to scaling fossilizers and plant roll-out.
Commercial traction
Industrial pilot sites operational; machines (Fossilisers) delivered to multiple sorting/industrial partners.
Recognition
Named among Forbes 30 Under 30 (Manufacturing &amp; Industry) Europe.
</t>
  </si>
  <si>
    <t xml:space="preserve">Patented process: Accelerated Fossilization (unique industrial approach to mineralize mixed industrial waste).
While specific patent numbers aren’t in the public web results, the process is widely described as proprietary and patented globally.
Anthropocite® (branded mineral aggregate) positions the product as negative carbon construction material.
</t>
  </si>
  <si>
    <t xml:space="preserve">Moderate to high — projects involve:
Partnerships with waste management players and sorting centres
Collaboration with construction sector and materials users
Engagement in events and industrial showcases (Pollutec, Global Industrie) highlighting joint innovation potential.
</t>
  </si>
  <si>
    <t xml:space="preserve">No current toxic/radioactive waste focus — processes handle non-hazardous waste only.
Industrial product orientation — the value proposition is tied to construction materials, not environmental decontamination.
Scaling complexity — establishing large industrial units (~100,000 t/yr) involves capital, regulatory, and local infrastructure challenges.
</t>
  </si>
  <si>
    <t xml:space="preserve">Solidification/stabilization logic: Mechanically transforms mixed waste into durable mineral aggregates, offering lessons and potential for PG post-treatment reuse pathways.
Negative carbon footprint: Sequestration of embedded carbon within the product aligns with sustainability goals in regenerative materials.
Industrialization experience: Rapid scale-up from pilot to multiple factories indicates capacity to design, build, and operate processing systems.
</t>
  </si>
  <si>
    <t xml:space="preserve">Néolithe — official company site, waste transformation overview: https://neolithe.com/ :contentReference[oaicite:31]{index=31}
Forbes profile and patented technology mention: https://www.forbes.com/profile/neolithe/ :contentReference[oaicite:32]{index=32}
PitchBook company profile: https://pitchbook.com/profiles/company/463472-74 :contentReference[oaicite:33]{index=33}
Industrial plant expansion details: https://www.industrie-online.com/en/news/1083/neolithe-accelerates-a-second-factory-and-100-000-tonnes-of-recycled-waste-per-year-near-angers :contentReference[oaicite:34]{index=34}
Fundraising &amp; scaling (60M EUR): https://www.2cfinance.net/en/neolithe-raises-60-million-waste-fossilizers/ :contentReference[oaicite:35]{index=35}
Solar Impulse Efficient Solution profile: https://solarimpulse.com/companies/neolithe :contentReference[oaicite:36]{index=36}
</t>
  </si>
  <si>
    <t xml:space="preserve">Néolithe represents a “material transformation and reuse” actor that excels at creating stable, engineered mineral aggregates from mixed waste. For NutriCrops, its logic could be adapted to phosphogypsum valorization chains, especially where the goal is to produce safe, stable materials usable (with regulatory clearance) in construction or infrastructure — even if the pathway does not directly treat radionuclides. Targeted technical discussions should explore:
Compatibility of PG chemistry with Accelerated Fossilization binders
Leaching behavior and regulatory compliance for materials containing residual radionuclides
Potential joint pilots integrating PG streams into mineral aggregate production
</t>
  </si>
  <si>
    <t>Arca Climate Technologies</t>
  </si>
  <si>
    <t xml:space="preserve">Arca Climate Technologies is a climate-tech company developing accelerated mineral carbonation processes that permanently store CO₂ by reacting it with alkaline industrial residues (e.g., concrete fines, steel slag), producing stable carbonate minerals. The company positions mineralization as a durable carbon removal pathway integrated with industrial waste streams.
</t>
  </si>
  <si>
    <t>Vancouver, British Columbia, Canada</t>
  </si>
  <si>
    <t>https://www.arca.climate</t>
  </si>
  <si>
    <t xml:space="preserve">Mineral carbonation of solid alkaline materials for permanent CO₂ sequestration.
</t>
  </si>
  <si>
    <t xml:space="preserve">Accelerated reaction of CO₂ with calcium- and magnesium-bearing solids
Processing of industrial residues rather than virgin minerals
Generation of stable carbonate materials suitable for long-term storage or secondary use
Strong emphasis on reaction kinetics, feedstock chemistry, and process optimization
</t>
  </si>
  <si>
    <t xml:space="preserve">Why relevant:
Deep expertise in mineral binding and stabilization chemistry
Familiar with industrial solid residues as feedstocks
Carbonation pathways could potentially immobilize contaminants in a mineral matrix
Limitations:
Phosphogypsum is calcium sulfate, not an alkaline silicate
Carbonation applicability would require pre-conditioning or hybrid pathways
No public evidence of radioactive contaminant handling
</t>
  </si>
  <si>
    <t xml:space="preserve">Active R&amp;D and pilot-scale work in mineral carbonation
Recognized within the carbon removal ecosystem
Clear technical roadmap toward scale-up of mineralization processes
</t>
  </si>
  <si>
    <t xml:space="preserve">Proprietary process design for accelerated carbonation
Focus on process IP rather than single-reactor hardware
IP strength lies in reaction control and system integration
</t>
  </si>
  <si>
    <t xml:space="preserve">Open to partnerships involving new feedstocks
Likely to engage via joint pilots and feasibility studies
</t>
  </si>
  <si>
    <t xml:space="preserve">Chemistry mismatch risk with PG
Carbon removal economics may dominate over waste-management priorities
Limited regulatory experience with radioactive materials
</t>
  </si>
  <si>
    <t xml:space="preserve">Provides best-in-class mineral carbonation expertise
Could test whether carbonation-based immobilization is viable for PG or PG-derived materials
</t>
  </si>
  <si>
    <t xml:space="preserve">Official website:
https://arcaclimate.com/
Carbon removal marketplace profile:
https://console.carbonremoval.ca/companies/arca-climate-technologies
10-year carbon removal offtake (Mining.com):
https://www.mining.com/arca-climate-technologies-inks-10-year-carbon-removal-offtake-deal-with-microsoft/
ISO-compliant mineralization methodology validation (IM Mining):
https://im-mining.com/arca-carbon-mineralisation-tech-methodology-receives-iso-compliance-validation-from-dnv/
Industrial mineralization on mine tailings (CleanEnergy.ca):
https://cleanenergy.ca/arca-climate-technologies-nickel-industrial-mineralization/
</t>
  </si>
  <si>
    <t xml:space="preserve">Arca is not a PG solution provider, but a technical reference partner. Best engaged to answer:
“Can mineral carbonation meaningfully stabilize PG-derived materials, and under what conditions?”
</t>
  </si>
  <si>
    <t>Forge Minerals</t>
  </si>
  <si>
    <t xml:space="preserve">Forge Minerals is a carbon-negative materials startup converting CO₂ into engineered mineral products through synthetic mineralization, targeting construction and industrial materials markets. The company positions itself at the intersection of carbon utilization and mineral manufacturing.
</t>
  </si>
  <si>
    <t xml:space="preserve">Edinburgh, Scotland, United Kingdom
</t>
  </si>
  <si>
    <t>https://forgeminerals.com</t>
  </si>
  <si>
    <t xml:space="preserve">Synthetic mineral formation via CO₂ mineralization
</t>
  </si>
  <si>
    <t xml:space="preserve">Creation of carbon-negative mineral solids
Control of mineral morphology and material properties
Focus on product-grade materials, not just sequestration
</t>
  </si>
  <si>
    <t xml:space="preserve">Why relevant:
Strong capability in engineering mineral solids
Experience designing materials that are structurally stable and durable
Could support PG pathways where treated PG becomes a construction input
Limitations:
Not waste-first; carbon utilization is the main driver
No evidence of hazardous or radioactive material handling
</t>
  </si>
  <si>
    <t xml:space="preserve">Early-stage pilots and material demonstrations
Strong R&amp;D orientation with emerging industrial interest
</t>
  </si>
  <si>
    <t xml:space="preserve">Proprietary mineral synthesis processes
IP focused on material properties and formation pathways
</t>
  </si>
  <si>
    <t xml:space="preserve">Likely open to co-development where material innovation is central
Less suited for operational waste-handling partnerships
</t>
  </si>
  <si>
    <t xml:space="preserve">Carbon utilization economics may conflict with bulk PG volumes
Limited experience with large, low-value waste streams
</t>
  </si>
  <si>
    <t xml:space="preserve">Provides material-engineering insight into what treated PG could become
Useful for end-use material design, not front-end remediation
</t>
  </si>
  <si>
    <t xml:space="preserve">Official website:
https://forgeminerals.com/
PitchBook company profile:
https://pitchbook.com/profiles/company/895567-06
VentureRadar profile:
https://www.ventureradar.com/organisation/Forge%20Minerals/0193e25c-81f1-45d0-a7f4-42395c763174
</t>
  </si>
  <si>
    <t xml:space="preserve">Forge Minerals is best viewed as a downstream material innovation partner, not a PG treatment lead.
</t>
  </si>
  <si>
    <t>Carbon To Stone </t>
  </si>
  <si>
    <t xml:space="preserve">Carbon To Stone is a climate-technology company developing processes that lock atmospheric or industrial CO₂ into stone-like mineral materials, producing durable solid products while achieving permanent carbon sequestration.
</t>
  </si>
  <si>
    <t>Ithaca, New York, USA</t>
  </si>
  <si>
    <t>https://carbontostone.com</t>
  </si>
  <si>
    <t xml:space="preserve">CO₂-to-stone mineralization
</t>
  </si>
  <si>
    <t xml:space="preserve">Conversion of CO₂ into solid mineral matrices
Emphasis on durability, permanence, and structural integrity
Likely integration with construction material pathways
</t>
  </si>
  <si>
    <t xml:space="preserve">Why relevant:
Direct experience in turning minerals into stone-like solids
Applicable to PG pathways involving solidification and encapsulation
Limitations:
Early-stage
No demonstrated contaminant or radionuclide focus
</t>
  </si>
  <si>
    <t xml:space="preserve">Early-stage development and pilot concepts
Strong conceptual clarity, limited industrial execution evidence
</t>
  </si>
  <si>
    <t xml:space="preserve">Likely proprietary mineralization formulations
IP appears process-centric, not platform-wide yet
</t>
  </si>
  <si>
    <t xml:space="preserve">High (early-stage)
Likely receptive to joint pilots and applied demonstrations
Needs real industrial use cases
</t>
  </si>
  <si>
    <t xml:space="preserve">Low TRL
No regulatory experience
Unknown scalability economics
</t>
  </si>
  <si>
    <t xml:space="preserve">Offers a conceptual stone-formation lens for PG reuse
Useful for proof-of-concept exploration, not near-term deployment
</t>
  </si>
  <si>
    <t xml:space="preserve">Official technology overview:
https://carbontostone.com/our-tech/
Greentown Labs member profile:
https://greentownlabs.com/members/carbon-to-stone/
</t>
  </si>
  <si>
    <t>Carbon To Stone is best treated as a concept-validation collaborator, not an implementation partner.</t>
  </si>
  <si>
    <t xml:space="preserve">Spearstone Solutions, LLC </t>
  </si>
  <si>
    <t xml:space="preserve">Spearstone Solutions, LLC is a U.S.-based early-stage environmental technology company focused on transforming industrial byproducts — such as phosphogypsum (PG) and synthetic gypsum/coal ash — into economically valuable and environmentally benign products while reducing contaminants, including radioactive elements and heavy metals. The company’s work focuses on combining innovative separation techniques with chemical processes that aim to release pollutants from mineral matrices and convert the cleaned material into ammonium sulfate fertilizer and calcium carbonate.
Spearstone holds Small Business Innovation Research (SBIR) Phase I funding for a project specifically targeting the separation of clean gypsum from phosphate processing waste, with the aim of isolating and safely removing radioactive components present in PG.
</t>
  </si>
  <si>
    <t>Birmingham, Alabama, USA</t>
  </si>
  <si>
    <t>https://www.spearstonesolutions.com/</t>
  </si>
  <si>
    <t xml:space="preserve">Radioactive and heavy metal contaminant removal from industrial gypsum wastes
Phosphogypsum remediation and cleansing
Transformation of industrial waste into value-added chemicals
Rare Earth Element (REE) extraction from waste streams
CO₂ reuse in waste conversion processes
</t>
  </si>
  <si>
    <t xml:space="preserve">Spearstone’s core technical approach — as funded by the 2025 NSF SBIR Phase I award — is centered on an innovative “double salt formation” process that:
Releases contaminants (including uranium, thorium, radium) from the gypsum crystal lattice via ionic salt solutions, separating these radionuclides and heavy metals from the mineral matrix.
Separates the contaminant-bearing salts, allowing the cleaned gypsum to be regenerated.
Converts the cleaned gypsum into commercially valuable products, specifically:
Ammonium sulfate fertilizer
Calcium carbonate (with CO₂ capture/utilization), potentially reducing greenhouse gas emissions.
Enables safe disposal or further handling of the separated contaminants and radionuclides.
Spearstone’s process is explicitly designed to be eco-friendly — without harsh chemicals, high pressures, or extreme temperatures — and to work across a range of PG feedstocks.
</t>
  </si>
  <si>
    <t xml:space="preserve">Direct relevance — VERY HIGH
Spearstone is one of the very few entities focused specifically on phosphogypsum waste streams and radioactive contaminant removal. Its SBIR project directly targets:
Isolation and safe removal of radium, uranium, and thorium from PG
Transformation of cleaned gypsum into commercially useful products
Management and safe disposal or processing of the separated contaminants
This makes Spearstone exceptionally relevant to NutriCrops’ core challenge of reducing or eliminating radioactive elements from PG within the next 18–24 months.
</t>
  </si>
  <si>
    <t xml:space="preserve">2025 NSF SBIR Phase I Award ($305,000) for work titled “Separation of Clean Gypsum from Phosphate Ore Processing Waste” — specifically addressing PG contaminants and radionuclides.
Active efforts to transform PG into ammonium sulfate fertilizer and calcium carbonate while extracting or isolating contaminants, including heavy metals and radionuclides.
Website and company materials emphasize both phosphogypsum remediation and rare earth element extraction from industrial wastes.
Participation in local innovation/incubator ecosystems such as Innovation Depot, indicating entrepreneurial support and early-stage scaling involvement.
</t>
  </si>
  <si>
    <t xml:space="preserve">Spearstone’s technology is grounded in proprietary process chemistry involving double salt separation, ionic solutions, and clean gypsum regeneration.
IP position is tied to SBIR-supported R&amp;D and likely early-stage trade secrets/process development rather than large patent portfolios at this stage.
Ability to convert waste streams to value-added products (fertilizer, calcium carbonate, potentially REEs) is a value-first commercial model that improves investability and de-risks waste disposal uncertainties.
</t>
  </si>
  <si>
    <t xml:space="preserve">Spearstone’s orientation is best described as:
Technology co-development and pilot partnership
Willing to work with universities, labs, and industry partners to validate process chemistry
Open to joint pilots with industrial partners and service providers
Early-stage, so likely to welcome structured R&amp;D funding, testing partnerships, and advisory collaboration
</t>
  </si>
  <si>
    <t xml:space="preserve">Must demonstrate consistent separation performance across diverse PG feedstocks
Handling and safe disposal of isolated radionuclides still requires partnering with licensed service providers (e.g., Perma-Fix, Clean Harbors)
Scaling from bench to pilot requires funding + regulatory support + industrial access
</t>
  </si>
  <si>
    <t xml:space="preserve">Spearstone Solutions is one of the very few startups focused specifically on the phosphogypsum problem, and — uniquely — it is tackling radioactivity within that context rather than ancillary concerns.
It bridges:
Basic science → applied remediation
Radioactive contaminant reduction → commercial chemical production
Environmental impact → economic viability
Given your 18–24 month goal, Spearstone is one of the top near-term technology partners to evaluate and engage directly for NutriCrops.
</t>
  </si>
  <si>
    <t xml:space="preserve">Spearstone Solutions official website | https://www.spearstonesolutions.com/
SBIR Phase I award: Separation of Clean Gypsum from Phosphate Ore Processing Waste | https://www.sbir.gov/portfolio/2264697
NSF SBIR award details (Spearstone Solutions) | https://nsf.elsevierpure.com/en/projects/sbir-phase-i-separation-of-clean-gypsum-from-phosphate-ore-proces
VentureRadar company profile for Spearstone Solutions | https://www.ventureradar.com/organisation/Spearstone%20Solutions/406ebe2d-9f42-4f0b-ad06-648b9ad65036
Craft profile for Spearstone Solutions | https://craft.co/spearstone-solutions
Spearstone solutions and waste management overview | https://spearstonesolutions.com/solutions/
Innovation Depot / Spearstone Solutions involvement | https://innovationdepot.org/our_companies/spearstone-solutions/
</t>
  </si>
  <si>
    <t xml:space="preserve">Spearstone’s work aligns with NutriCrops mission-critical paths:
understanding PG contaminant binding
proving separation approaches work in practice
integrating waste remediation with resource recovery
Rather than being a “long horizon research concept,” this is applied innovation that can be piloted within your desired timeframe.
</t>
  </si>
  <si>
    <t>https://patents.google.com/?q=(spearstone+solutions)&amp;oq=spearstone+solutions</t>
  </si>
  <si>
    <t>Anactisis</t>
  </si>
  <si>
    <t xml:space="preserve">Anactisis, LLC is a U.S.-based technology company focused on advanced separation and beneficiation of industrial by-products and tailings, with a particular emphasis on phosphogypsum (PG), coal ash, and mining residues. The company develops physical–chemical separation systems intended to recover valuable materials while reducing contaminants and enabling reuse of what are currently regulated waste streams.
Anactisis positions itself at the intersection of waste remediation and resource recovery, aiming to convert liabilities into feedstocks for construction, industrial minerals, or other value chains.
</t>
  </si>
  <si>
    <t>Pittsburg, PA, USA</t>
  </si>
  <si>
    <t>https://anactisis.com</t>
  </si>
  <si>
    <t xml:space="preserve">Phosphogypsum beneficiation and processing
Separation of impurities from industrial by-products
Tailings and waste valorization
Mineral separation and classification
Feedstock preparation for downstream reuse
</t>
  </si>
  <si>
    <t xml:space="preserve">Anactisis develops modular separation systems that combine:
Physical separation techniques (classification, density-based separation, particle-size management)
Chemical conditioning to enhance impurity release or partitioning
Process integration designed to operate on heterogeneous, variable-quality waste streams such as PG
Public descriptions and third-party profiles indicate that Anactisis explicitly considers phosphogypsum tailings as a target material, positioning its technology as a way to:
Isolate undesirable fractions
Produce a cleaner gypsum stream suitable for reuse
Reduce the volume of material requiring regulated disposal
</t>
  </si>
  <si>
    <t xml:space="preserve">Direct relevance: Medium–High (conditional)
Anactisis explicitly targets phosphogypsum, which already places it ahead of most “adjacent” startups.
The company’s strength lies in front-end beneficiation and fractionation, which is often a necessary precursor to any effective radionuclide removal strategy.
Key caveat
Anactisis does not publicly position itself as a radionuclide-specific technology provider.
Its relevance to radioactive element reduction depends on whether:
Radium/uranium preferentially partition into a specific fraction, or
Its system can be coupled with downstream capture or stabilization technologies (e.g., DISA, Spearstone, Perma-Fix).
Bottom line: Anactisis is highly relevant as a pre-processing and mass-reduction partner, and potentially relevant to radionuclide reduction if paired with a selective separation or treatment step.
</t>
  </si>
  <si>
    <t xml:space="preserve">Public materials and third-party databases (e.g., VentureRadar) reference phosphogypsum tailings as a target use case.
Positioned as an early-stage commercial technology rather than a purely academic concept.
Focused on industrial deployment contexts, not lab-only research.
While there is limited public disclosure on pilot deployments, the company’s framing suggests applied engineering readiness, not blue-sky R&amp;D.
</t>
  </si>
  <si>
    <t xml:space="preserve">Likely relies on process IP and system integration know-how rather than single breakthrough patents.
Value is in:
Flowsheet design
Operational tuning for variable feedstocks
Integration with downstream users of cleaned gypsum
IP posture appears compatible with collaborative pilots rather than closed, black-box licensing.
</t>
  </si>
  <si>
    <t xml:space="preserve">Industrial and pilot-focused
Likely open to:
Joint validation with waste owners
Integration with complementary technologies
Pilot demonstrations tied to specific sites
Less oriented toward academic co-publication; more toward practical deployment
</t>
  </si>
  <si>
    <t xml:space="preserve">Needs characterization data to confirm radionuclide behavior in its separation fractions
Likely requires:
Chemical or mechanical pre-conditioning optimization
Downstream treatment/disposal for contaminated fractions
Regulatory acceptance depends on demonstrated contaminant reduction
</t>
  </si>
  <si>
    <t xml:space="preserve">Anactisis addresses a critical but often overlooked problem:
You cannot remove radionuclides efficiently if you first don’t manage mass, particle size, and impurity distribution.
By reducing volume and creating distinct material fractions, Anactisis can:
Lower treatment costs
Improve selectivity of downstream radionuclide capture
Make PG remediation economically and operationally feasible
</t>
  </si>
  <si>
    <t xml:space="preserve">Anactisis official website | https://anactisis.com/
Anactisis company profile (VentureRadar) | https://www.ventureradar.com/organisation/Anactisis%2C%20LLC/4cd8c36e-2393-42f3-803e-f80e02579e11
Anactisis overview (Craft) | https://craft.co/anactisis
Phosphogypsum overview (EPA) | https://www.epa.gov/radiation/phosphogypsum
TENORM overview (EPA) | https://www.epa.gov/radiation/technologically-enhanced-naturally-occurring-radioactive-materials-tenorm
</t>
  </si>
  <si>
    <t xml:space="preserve">Anactisis should be viewed as a system-level enabler, not a standalone solution. Its strongest role in NutriCrops is as:
A front-end PG conditioning partner
A mass-reduction and fractionation step
A bridge between raw PG stacks and selective radionuclide technologies (Spearstone, DISA)
Used correctly, Anactisis can materially improve the odds that downstream radionuclide removal actually works at scale.
</t>
  </si>
  <si>
    <t>Travertine Technologies</t>
  </si>
  <si>
    <t>Travertine Technologies is a U.S.-based startup developing electrochemical processes that convert calcium-rich industrial waste streams, including phosphogypsum (PG), into valuable construction materials such as calcium carbonate and low-carbon cementitious products, while simultaneously utilizing CO₂.
Travertine’s core innovation lies in waste-to-product conversion, reducing both:
Industrial waste liabilities
Carbon emissions associated with traditional materials production
The company is positioned at the intersection of circular economy, industrial decarbonization, and materials innovation.</t>
  </si>
  <si>
    <t xml:space="preserve">North America, Europe, Middle East &amp; North Africa: Morocco, Asia </t>
  </si>
  <si>
    <t>https://www.travertinetech.com/</t>
  </si>
  <si>
    <t>Phosphogypsum and calcium-based waste utilization
Electrochemical conversion technologies
Carbon utilization and mineralization
Low-carbon construction materials
Industrial waste volume reduction</t>
  </si>
  <si>
    <t>Electrochemical processing of calcium-rich industrial waste streams
Conversion of PG-derived calcium into:
Calcium carbonate
Cementitious binders
Integration of CO₂ utilization into materials production
Feedstock-flexible, modular system design enabling adaptation across regions</t>
  </si>
  <si>
    <t>Phosphogypsum (PG)
PG is a validated feedstock within Travertine’s technology scope
The technology supports:
High-volume PG reduction
Conversion into marketable materials
Reduction of long-term storage liabilities
Radioactive Elements (NORM)
Travertine does not focus on radionuclide separation or radiochemistry
Assumes:
Upstream PG characterization
Regulatory clearance
Either immobilized or acceptable radiological profiles
Correct technical positioning:
Travertine is a downstream PG valorisation and conversion partner, not a primary NORM-mitigation technology provider.</t>
  </si>
  <si>
    <t>Ongoing development and piloting of electrochemical waste-conversion systems
Engagement with:
Industrial waste generators
Construction materials stakeholders
Climate and carbon-utilization ecosystems
Multi-regional activity consistent with:
Global phosphate and calcium waste distribution
International demand for low-carbon materials
The visible global footprint reinforces Travertine’s readiness for cross-border deployment, including Africa-relevant contexts.</t>
  </si>
  <si>
    <t>Proprietary electrochemical processing IP
Focus on:
Process efficiency
Integration of waste and CO₂ streams
Scalable materials production
Technology is PG-compatible but not PG-exclusive</t>
  </si>
  <si>
    <t>Industry-facing, pilot-driven, open-innovation compatible
Designed to integrate with:
Upstream radiochemistry and remediation partners
Downstream construction and infrastructure actors</t>
  </si>
  <si>
    <t>Requires radiologically acceptable or pre-treated PG
Dependent on:
Regulatory approval for end-use materials
Energy and CO₂ sourcing economics</t>
  </si>
  <si>
    <t>Converts validated PG into deployable products
Anchors the commercialization and climate pillar of NutriCrops
Naturally supports U.S.–Morocco–Global innovation pathways
Strengthens UM6P-GHUS’s bi-continental and global ecosystem logic</t>
  </si>
  <si>
    <t>Travertine Technologies (official website &amp; global map):
https://www.travertinetech.com</t>
  </si>
  <si>
    <t>Travertine’s explicit global footprint, including Morocco, makes it especially well-suited for UM6P-GHUS and NutriCrops, provided it is positioned correctly as a downstream conversion and deployment partner within a science-led, regulator-validated PG ecosystem.</t>
  </si>
  <si>
    <t>Veolia North America- Innovation &amp; Technology</t>
  </si>
  <si>
    <t>Veolia North America is the U.S. arm of Veolia Group, a global leader in water, waste, and environmental services operating in more than 40 U.S. states. Veolia combines technology development, infrastructure operation, and environmental compliance, making it one of the most credible industrial actors for large-volume waste streams and regulated materials.
Veolia North America’s Innovation &amp; Technology activities focus on deploying and scaling technologies developed internally or through partnerships with labs, universities, and startups — rather than inventing basic science in-house.</t>
  </si>
  <si>
    <t>U.S. Headquarters: Boston, Massachusetts, USA
Major Operations: Nationwide (municipal + industrial sites across the U.S.)</t>
  </si>
  <si>
    <t>https://www.veolianorthamerica.com/</t>
  </si>
  <si>
    <t>Industrial waste management &amp; valorization
Hazardous and regulated material handling
Gypsum and mineral byproducts management
Water and wastewater treatment (incl. contaminants separation)
Environmental remediation and compliance
Circular economy solutions at industrial scale</t>
  </si>
  <si>
    <t>Operator-led pilots at real industrial sites
Technology integration (membranes, separations, stabilization, reuse pathways)
Process engineering and optimization under regulatory constraints
Compliance-driven design (EPA, state agencies)
Scale-up from pilot → commercial operations
Veolia typically partners for novel separation science and focuses on making it work at scale.</t>
  </si>
  <si>
    <t>Veolia has direct relevance to NutriCrops because:
It routinely manages large-volume mineral wastes
It operates under strict environmental and radioactive material regulations
It has experience with:
Gypsum byproducts
Industrial residues containing NORM
Long-term liability and monitoring requirements
Veolia’s value is not discovering how to separate radionuclides, but:
Operating systems that safely handle, treat, reuse, or immobilize materials once the science is proven</t>
  </si>
  <si>
    <t>Active deployment of circular economy solutions for industrial byproducts
Industrial waste reuse programs in construction and infrastructure materials
Operation of hazardous waste treatment and stabilization facilities
Partnerships with:
Industrial clients
Municipal authorities
Technology developers
Veolia frequently acts as the first large operator willing to host pilots once regulatory risk is manageable.</t>
  </si>
  <si>
    <t>Veolia holds substantial process and operational IP
Typically:
Licenses technology
Co-develops applied process IP
Comfortable with joint IP frameworks in applied innovation projects
This is compatible with NutriCrops if IP governance is clearly defined upstream.</t>
  </si>
  <si>
    <t>Selectively Open (Industry-Driven)
Open to:
Pilots
Joint development
Open innovation programs
Less open than universities or national labs
Requires:
Clear value proposition
Regulatory clarity
Risk mitigation</t>
  </si>
  <si>
    <t>Not interested in:
Open-ended research
Early-stage uncertainty
Needs:
Proven or near-proven technology
Clear compliance pathway
Best paired with:
ORNL / SRNL (science)
Penn State / CWRU (separations)
Battelle / EPRI (integration &amp; validation)</t>
  </si>
  <si>
    <t>Brings real-world operational credibility
Enables:
Pilot → commercial transition
Regulatory engagement at scale
Helps NutriCrops move from:
Technically promising
→ “Operationally viable”</t>
  </si>
  <si>
    <t>https://www.veolia.com/en/innovation
https://www.veolia.com/en/solution/circular-economy
https://www.veolianorthamerica.com/what-we-do/hazardous-waste
https://www.veolia.com/en/our-solutions/industrial-waste</t>
  </si>
  <si>
    <t>Veolia North America should be viewed as a strategic deployment and operations partner for NutriCrops, rather than a research or discovery actor. Its primary value lies in operating, scaling, and validating solutions under real regulatory, environmental, and industrial constraints, which is a critical translation gap in phosphogypsum and radionuclide mitigation efforts.
Veolia is best engaged after technical feasibility is demonstrated (TRL ≥5), where it can host pilots, support regulatory engagement, and generate real-world performance and cost data. Its strength in regulated waste handling, industrial mineral byproducts, and environmental compliance makes it particularly valuable for de-risking adoption and enabling commercial-scale pathways.</t>
  </si>
  <si>
    <t>Similar Electrochemical separation startups</t>
  </si>
  <si>
    <t>Startups developing electrically driven ion-separation systems that use:
ion-selective electrodes, redox-active materials, or electro-sorption (battery-physics analogs),
membrane electrodialysis / electro-deionization, and/or
electrochemical deposition / stripping
to selectively remove or concentrate target ions from complex aqueous streams.
Representative examples (for landscape anchoring):
Lithios (electrochemical “Advanced Lithium Extraction” platform)
Electroflow Technologies (electrochemical direct lithium extraction / refinement; modular stack design)
RepAir (electrochemical separation using stackable cell architecture—CO₂ separation, but demonstrates the “electrochemical separation stack” model)
Electrosynthesis Company, Inc. (electrochemical separations + waste-stream recycling as an engineering/R&amp;D provider)</t>
  </si>
  <si>
    <t>U.S.-based and international (many relevant platform companies exist in the U.S.; some strong platform innovators are outside the U.S., but still potential collaborators depending on IP/export constraints).</t>
  </si>
  <si>
    <t xml:space="preserve">https://www.lithios.io  
https://www.electrosynthesis.com 
https://www.repair-carbon.com </t>
  </si>
  <si>
    <t>Electrochemical separations for selective extraction/removal of ions from liquids (often brines, industrial wastewater, and contaminated process streams).
This includes “battery-like” capture/release of ions driven by applied voltage, which can be highly selective depending on electrode chemistry.</t>
  </si>
  <si>
    <t>Common approaches seen in “similar electrochemical separation startups”:
Ion-selective electrodes / electro-sorption (battery-physics analog)
Example logic described for Lithios and Electroflow: lithium-selective electrodes and modular electrochemical cells.
Electrodialysis / membrane-driven electro-separation
Electrodeposition / stripping (selective recovery of metals from solution)
Electro-swing / redox-mediated selective capture (demonstrated strongly in CO₂ electrochemical separation architectures; conceptually transferable as a design pattern for modular stack systems).</t>
  </si>
  <si>
    <t>PG challenges frequently involve trace contaminants and complex matrices; electrochemical separation can be tuned for selectivity and run modularly.
These startups often build modular stack architectures (good for pilot deployments at/near gypstacks).
The “voltage instead of bulk reagents” logic can reduce chemical intensity—relevant for waste streams and circularity narratives.
Caveat (big one for PG-radioactivity):
Many electrochemical startups prove themselves first on Li/REE/heavy metals, not radionuclides. NutriCrops fit becomes strongest when the platform can be adapted (or has evidence) for uranium/radium/thorium-bearing systems.</t>
  </si>
  <si>
    <t>What “leading” electrochemical separation startups typically show (and what NutriCrops should look for):
ARPA-E / DOE support for electrochemical separation platforms (signals technical validation and U.S. innovation pathway). Example: Lithios listed on ARPA-E project materials.
Pilot scaling + modular stacks (Electroflow highlights modular stack design; Stanford TomKat profile describes their approach and claimed efficiency improvements vs traditional sourcing).
Venture funding for scale trials (Electroflow reported raising a seed round to support larger-scale trials).
Commercial positioning around contaminated/dilute feeds (Lithios describes extraction from diluted/contaminated fluids; investor/partner descriptions emphasize difficult feedstocks).</t>
  </si>
  <si>
    <t>Proprietary electrode materials, cell architecture, and process control (selectivity is often locked in materials + operating window).
Platform companies often protect:
electrode formulations
membrane stacks / flow-field designs
regeneration cycles and selectivity tuning parameters</t>
  </si>
  <si>
    <t>Best-fit electrochemical startups for NutriCrops typically collaborate via:
Pilot co-development with site owners + engineering integrators
Joint validation with universities / national labs for difficult matrices (e.g., radionuclides, gypsum slurries)
Data-sharing frameworks under controlled IP boundaries (performance data, fouling behavior, selectivity curves)</t>
  </si>
  <si>
    <t>Access to representative PG-derived liquids for testing (leachates/process water)
Regulatory considerations if pilots handle radioactive constituents
Need for pretreatment (solids management) before the electrochemical module
Integration partner for skid engineering + site deployment</t>
  </si>
  <si>
    <t>Because it can become the selective “front-end de-risker”:
remove or reduce radioactive/heavy-metal risk drivers,
enabling downstream reuse pathways (materials, soil amendments, industrial products),
and creating a credible pilot narrative aligned with U.S. innovation norms (modular, measurable, scalable).</t>
  </si>
  <si>
    <t>https://lithios.xyz/    https://news.mit.edu/2025/mit-startup-lithios-expand-americas-lithium-production-1114?</t>
  </si>
  <si>
    <t>Treat this as a “platform partner class” rather than a single solution. The best NutriCrops pathway is often:
(PG leachate / process water characterization) → (selective electrochemical removal module) → (downstream reuse/valorization track)
For open innovation, prioritize startups that will co-design electrode chemistry for uranium/radium/thorium (or will validate with a national lab partner).</t>
  </si>
  <si>
    <t>Corporate Partners</t>
  </si>
  <si>
    <t>Clean Harbors — TENORM waste services</t>
  </si>
  <si>
    <t xml:space="preserve">Clean Harbors, Inc. is North America’s leading provider of environmental, industrial, and hazardous waste management services, with specialized capabilities in radioactive waste, NORM, and TENORM materials. The company provides end-to-end services including waste characterization, packaging, transportation, treatment, stabilization, and final disposal across a highly regulated network of permitted facilities. Clean Harbors serves energy, chemical, mining, manufacturing, and government clients and operates as a critical compliance and risk-management backbone for hazardous and radioactive materials.
</t>
  </si>
  <si>
    <t>Norwell, Massachusetts, USA</t>
  </si>
  <si>
    <t>https://www.cleanharbors.com</t>
  </si>
  <si>
    <t xml:space="preserve">Radioactive, NORM, and TENORM waste management, including:
Low-level radioactive waste (LLRW)
Technologically Enhanced Naturally Occurring Radioactive Materials (TENORM)
Mixed hazardous/radioactive materials
Industrial residues containing uranium, thorium, radium, and decay products
</t>
  </si>
  <si>
    <t xml:space="preserve">Radiological characterization &amp; profiling
Isotope identification (Ra-226, U-238 series, Th-232 series)
Activity concentration measurement
Waste Acceptance Criteria (WAC) matching
Packaging &amp; conditioning
Stabilization, solidification, and encapsulation where required
Approved containerization for radioactive materials
Licensed transport &amp; logistics
DOT-compliant movement of radioactive materials
Rail and truck infrastructure
Treatment &amp; disposal
Access to permitted hazardous waste incinerators, landfills, and third-party radioactive disposal facilities
TENORM-specific handling pathways
This makes Clean Harbors a systems integrator for radioactive waste, rather than a technology inventor.
</t>
  </si>
  <si>
    <t xml:space="preserve">Phosphogypsum is classified as TENORM due to the presence of Ra-226 and radon-producing decay chains. Clean Harbors is directly relevant in several ways:
Management of radium-enriched by-products created during phosphogypsum decontamination
Handling of pilot-scale residues generated during radionuclide extraction trials
Providing regulatory-compliant disposal pathways, which is a prerequisite for any EPA-aligned reuse strategy
Supporting demonstration projects by de-risking the “what happens to the radioactive fraction?” question
</t>
  </si>
  <si>
    <t xml:space="preserve">Publicly markets radioactive and TENORM waste services
Actively serves oil &amp; gas, mining, and industrial clients with NORM/TENORM challenges
Operates under EPA, NRC-adjacent, DOT, and state regulatory frameworks
</t>
  </si>
  <si>
    <t xml:space="preserve">Not a primary IP generator for radionuclide separation chemistry
Core assets are:
Permits and licenses
Waste acceptance protocols
Facility network
Operational know-how and regulatory relationships
From an innovation perspective, Clean Harbors provides deployment IP, not invention IP.
</t>
  </si>
  <si>
    <t xml:space="preserve">Clean Harbors collaborates as a commercial, compliance-anchoring services partner, enabling validation, scale-up, and deployment by providing regulated handling, transport, and disposal of radioactive and TENORM materials; it does not engage in joint R&amp;D or IP co-development, but de-risks real-world pilots and ensures solutions are operationally and regulatorily deployable.
</t>
  </si>
  <si>
    <t xml:space="preserve">Waste Acceptance Criteria (WAC) thresholds
State-specific TENORM regulations
Transport distance and cost
Classification of treated phosphogypsum vs separated radioactive fraction
</t>
  </si>
  <si>
    <t xml:space="preserve">Clean Harbors enables NutriCrops to:
Move from lab success → field demonstration
Answer regulators’ first question: “Where does the radioactivity go?”
Design technologies that are deployable, not just publishable
De-risk environmental liability for OCP and partners
</t>
  </si>
  <si>
    <t xml:space="preserve">Clean Harbors – Official Website | https://www.cleanharbors.com/
Clean Harbors – Radioactive Services and Disposal | https://www.cleanharbors.com/services/technical-services/chemical-packing/radioactive-services-and-disposal
Clean Harbors – Technical Services Overview | https://www.cleanharbors.com/services/technical-services
Clean Harbors – Corporate Headquarters (Norwell, MA) | https://www.cleanharbors.com/location/corporate-headquarters
EPA – Phosphogypsum Overview | https://www.epa.gov/radiation/phosphogypsum
EPA – Technologically Enhanced Naturally Occurring Radioactive Materials (TENORM) | https://www.epa.gov/radiation/technologically-enhanced-naturally-occurring-radioactive-materials-tenorm
Scientific Review – Radionuclides in Phosphogypsum (TENORM classification) | https://www.sciencedirect.com/science/article/pii/S2213343718306304
</t>
  </si>
  <si>
    <t xml:space="preserve">Clean Harbors should be positioned as a downstream anchor partner, not a technology lead.
Their involvement forces technical discipline: if a radionuclide removal pathway cannot meet Clean Harbors’ handling and disposal criteria, it is unlikely to scale or receive regulatory approval.
Engage early, not late.
</t>
  </si>
  <si>
    <t>Dow- Advanced Materials &amp; Sustainability R&amp;D</t>
  </si>
  <si>
    <t>Dow is one of the world’s leading materials science companies, with deep capabilities in advanced chemistry, materials engineering, process design, and sustainability-driven innovation. Through its Advanced Materials &amp; Sustainability R&amp;D platforms, Dow develops technologies focused on resource efficiency, circular materials, waste valorization, and environmental performance across industrial and agricultural value chains.
Dow operates at the intersection of fundamental chemistry, applied engineering, and large-scale industrial deployment, making it a credible partner for late-stage innovation, formulation science, and scale-up—particularly where material stabilization, immobilization, or transformation is required.</t>
  </si>
  <si>
    <t>United States (global R&amp;D footprint)
Major R&amp;D centers include:
Midland, Michigan
Lake Jackson, Texas
Freeport, Texas
Additional global innovation hubs</t>
  </si>
  <si>
    <t>https://www.dow.com/
Sustainability &amp; Innovation: https://corporate.dow.com/en-us/science-and-sustainability.html</t>
  </si>
  <si>
    <t>Advanced materials science and polymer chemistry
Industrial chemistry and process engineering
Waste valorization and circular economy solutions
Environmental performance and sustainability systems
Stabilization, encapsulation, and immobilization materials</t>
  </si>
  <si>
    <t>Materials-Based Stabilization &amp; Immobilization
Development of binders, polymers, and composite materials
Chemical immobilization of contaminants within solid matrices
Long-term durability and leaching resistance testing
NutriCrops relevance:
Potential to chemically stabilize radioactive or trace contaminants in treated phosphogypsum, enabling safer downstream handling or use.
 Formulation &amp; Composite Material Design
Blending industrial by-products with engineered materials
Tailored material properties (strength, solubility, permeability)
NutriCrops relevance:
Supports safe formulation of PG-derived soil amendments or construction-grade by-products, once radioactivity is mitigated.
 Circular Economy &amp; Waste-to-Value Innovation
Repurposing industrial waste streams
Life-cycle assessment (LCA)–driven design
Sustainability performance optimization
NutriCrops relevance:
Aligns strongly with NutriCrops’ circular nutrient and materials valorization logic.
Industrial Scale-Up &amp; Process Integration
Pilot-to-commercial transition
Integration into existing industrial processes
NutriCrops relevance:
Ensures scalability and manufacturability of validated PG treatment or reuse pathways.</t>
  </si>
  <si>
    <t>Dow does not remove radionuclides, but can:
Stabilize residual contaminants
Enable safe reuse of treated PG
Improve material performance and safety</t>
  </si>
  <si>
    <t>Active R&amp;D in circular materials and waste valorization, including stabilization and encapsulation of industrial by-products.
Ongoing development of advanced polymers, binders, and composite materials aimed at reducing leaching and improving long-term material stability.
Integration of life-cycle assessment (LCA) and sustainability metrics into materials and process innovation.
Demonstrated ability to scale materials innovations from lab to pilot and commercial manufacturing.
Participation in pre-competitive sustainability and circular economy collaborations with universities and industry partners.</t>
  </si>
  <si>
    <t>Extensive proprietary IP portfolio in:
Materials science
Chemical formulations
Process engineering
IP is:
Strongly protected
Typically engaged through:
Joint development agreements
Sponsored research
Clearly scoped pilots</t>
  </si>
  <si>
    <t>Commercially and strategically oriented partnerships
Typically engages when:
Technical feasibility is demonstrated
Clear sustainability or market value exists
Comfortable in:
Consortium settings
Pre-competitive sustainability initiatives
Requires:
Clear scope
IP boundaries
Business rationale</t>
  </si>
  <si>
    <t>Requires:
Upstream radioactivity mitigation (labs, startups)
Defined use cases (soil amendment, materials, etc.)
Less suitable for exploratory or hypothesis-driven work</t>
  </si>
  <si>
    <t>Brings industrial realism and scalability
Enables safe, engineered reuse pathways
Strengthens NutriCrops’ transition from innovation to impact
Adds global deployment credibility, including Africa-relevant scaling</t>
  </si>
  <si>
    <t>Dow should be positioned as a selective, downstream accelerator within NutriCrops.
Used correctly, Dow:
Prevents NutriCrops from stalling at “pilot science”
Enables real-world products and systems
Signals seriousness to industrial and international stakeholders
Used too early, it risks over-commercial framing before science is settled.</t>
  </si>
  <si>
    <t>Internally funded corporate R&amp;D
Strategic sustainability investment programs
Long-term capital and manufacturing infrastructure</t>
  </si>
  <si>
    <t>The Mosaic Company (Central Florida phosphate operations / gypstacks)</t>
  </si>
  <si>
    <t>Large corporate industrial business</t>
  </si>
  <si>
    <t>The Mosaic Company is one of the world’s largest producers of phosphate-based fertilizers, operating integrated mining, beneficiation, phosphoric acid, and fertilizer manufacturing facilities. In Central Florida (Bone Valley / Tampa Bay region), Mosaic operates several phosphate chemical plants that generate and manage large-scale phosphogypsum (PG) stacks as a regulated byproduct of phosphoric acid production.
Mosaic is simultaneously:
A primary generator of phosphogypsum
A long-term steward of regulated radioactive materials
A potential anchor customer and host for technologies that reduce PG volume, risk, or convert PG into usable materials</t>
  </si>
  <si>
    <t>Central Florida, Bone Valley region, USA</t>
  </si>
  <si>
    <t>https://mosaicfloridaphosphate.com/</t>
  </si>
  <si>
    <t>Industrial phosphate fertilizer production
Phosphogypsum stack design, operation, and closure
Long-term environmental and radiological risk management
Evaluation of resource recovery opportunities (REEs, clean gypsum, co-products)</t>
  </si>
  <si>
    <t>Phosphogypsum generation
Mosaic reports a rule-of-thumb ratio of approximately:
~5 tons of phosphogypsum generated per 1 ton of phosphate product.
Central Florida facilities collectively generate ~19–20 million tons of PG per year.
(Three active facilities cited in Mosaic workshop material.)
- Gypstack engineering &amp; management
PG is stored in engineered stacks designed to:
Limit radon (Rn-222) emissions
Isolate radium (Ra-226) and other radioactive constituents
Manage acidic process water via lined systems and impoundments
Stack construction, operation, and closure are subject to:
Florida DEP permits
EPA Clean Air Act (40 CFR Part 61, Subpart R)
- Resource concentration insight (critical for NutriCrops)
Mosaic has publicly acknowledged that valuable materials are trapped in PG and related waste streams:
Estimated ~1.75 million tons of Rare Earth Oxide + Yttrium (REO+Y) contained in Florida phosphate operations
Of this, ~1.25 million tons are already at surface in:
Phosphogypsum stacks
Clay settling areas
Ponds and tailings
Mosaic workshop data estimates ~6,900 tons/year of potentially recoverable REE from PG streams alone</t>
  </si>
  <si>
    <t>Produces PG at national scale
Controls PG access, sampling, and siting
Bears long-term liability for PG stacks
Has economic incentive to reduce volume, risk, or closure costs</t>
  </si>
  <si>
    <t>Large-scale phosphogypsum (PG) generation and management
Mosaic reports that ~5 tons of phosphogypsum are generated per 1 ton of phosphate product.
Mosaic’s Central Florida operations generate ~19–20 million tons of PG per year across three active facilities.
Florida phosphate operations collectively hold ~1 billion tons of accumulated phosphogypsum, with Mosaic representing a major share. Quantified rare earth element (REE) content in phosphogypsum and related waste streams
Mosaic estimates ~1.75 million metric tons of REO + yttrium (REO+Y) contained in its Florida phosphate operations.
Of this total, ~1.25 million metric tons of REO+Y are already at surface, located in:
Phosphogypsum stacks
Clay settling areas
Process ponds
Mosaic estimates ~6,900 tons per year of potentially recoverable REE from phosphogypsum streams alone, based on current production rates. Engineered gypstack design, monitoring, and closure investment
Mosaic operates engineered phosphogypsum stacks exceeding 200 feet in height, designed to limit radon (Rn-222) emissions from radium-226 (Ra-226).
Gypstacks are subject to:
Continuous groundwater and surface water monitoring
Radiological compliance under EPA Clean Air Act (40 CFR Part 61, Subpart R)
Long-term closure and post-closure care, extending for decades
Stack systems and closure plans require state permits and financial assurance</t>
  </si>
  <si>
    <t>Mosaic’s core IP is process know-how, operating data, and site-specific engineering
Collaboration typically structured as:
Site access &amp; sampling agreements
Pilot hosting (on-stack or adjacent)
Joint validation projects
Mosaic generally avoids owning early-stage process IP; instead, it evaluates technologies for risk, compliance, and scalability
For UM6P GHUS, this means:
Mosaic is unlikely to be a technology originator
Mosaic is ideal as a validation, scale, and deployment partner</t>
  </si>
  <si>
    <t>Mosaic collaborates when:
Regulatory risk is well understood
Liability exposure is clearly allocated
Community and reputational risks are managed
Pilots align with long-term closure or cost-reduction objectives</t>
  </si>
  <si>
    <t>Regulatory constraint:
EPA treats PG as a radioactive material; reuse beyond narrow allowances requires approval or petition.
State permitting:
Florida DEP governs stack systems, closure plans, and monitoring obligations.
Liability allocation:
Any pilot must clearly define responsibility for post-pilot outcomes.
Market acceptance:
Products derived from PG (even if “cleaned”) face perception hurdles.</t>
  </si>
  <si>
    <t>Mosaic offers real scale, real data, real constraints
Validating a NutriCrops pathway with Mosaic creates:
Immediate credibility
Regulatory-tested learning
A replicable global model
Mosaic’s acknowledgment of REE and material value in PG aligns perfectly with NutriCrops’ “waste → nutrient/resource” thesis</t>
  </si>
  <si>
    <t>Gypstack fact sheet (Florida):
https://mosaicfloridaphosphate.com/wp-content/uploads/2025/06/GypstackFactSheet_Florida_Final.pdf
Rare Earth Elements in phosphate streams:
https://mosaicfloridaphosphate.com/wp-content/uploads/2025/06/Rare-Earth-Elements-2.pdf
Mosaic REE workshop slides (US Energy Association):
https://usea.org/sites/default/files/Gulf%20-%20Amiri%20-%20GCR%20Workshop%20on%20Critical%20Minerals%20Sustainbility%20Mosaic%20Slides_January%2019%202021.pdf</t>
  </si>
  <si>
    <t>Mosaic should be treated as the deployment gate, not the innovation engine.
The winning NutriCrops strategy is:
Co-design pilot scope with FIPR + regulators
Bring Mosaic in after regulatory framing is clear
Position the project as risk-reduction + closure optimization, not just “reuse”
Success with Mosaic unlocks global phosphate industry replication, including OCP contexts.</t>
  </si>
  <si>
    <t>Corporate capital expenditure (capex) and environmental compliance budgets
Strategic R&amp;D and evaluation budgets
Potential cost-sharing when aligned with:
Closure cost reduction
Critical minerals initiatives
Risk mitigation objectives
Mosaic is not grant-dependent but may co-participate in federally aligned pilots if risk is shared.
Analyst notes (strategic insight)
Mosaic should be treated as the deployment gate, not the innovation engine.
The winning NutriCrops strategy is:
Co-design pilot scope with FIPR + regulators
Bring Mosaic in after regulatory framing is clear
Position the project as risk-reduction + closure optimization, not just “reuse”
Success with Mosaic unlocks global phosphate industry replication, including OCP contexts.
If you want, next I can:
Map exact pilot archetypes Mosaic is most likely to accept (sampling-only vs. on-stack vs. off-stack)
Draft a Mosaic-facing pilot value proposition (1–2 pages)
Or score Mosaic against other phosphate majors to show why Central Florida is the best U.S. entry point
Just tell me how you want to use this next (internal memo, partner pitch, or ecosystem map deliverable).
Current activities / evidence
Publication of technical fact sheets explaining PG generation, stack design, and regulatory constraints
Public acknowledgment of REE value concentration in PG
Participation in critical minerals workshops (e.g., US Energy Association)
Ongoing investment in stack integrity, monitoring, and closure planning
Importantly:
👉 Mosaic does not currently commercialize PG reuse at scale, which underscores both the opportunity and the regulatory/technical barriers that NutriCrops seeks to address. [ make sure to elaborate and use data to illustrate 
Absolutely — below is a data-backed, evidence-rich elaboration of Mosaic’s current activities, written so it can stand on its own in a formal ecosystem map, investor memo, or regulator-facing document. I’ve kept it factual, explicit, and grounded in Mosaic’s own disclosures and public datasets.
Current activities / evidence (elaborated with data)
1. Publication of technical fact sheets on phosphogypsum (PG), gypstack design, and regulatory constraints
What Mosaic has done
Mosaic has published public technical fact sheets specifically aimed at explaining:
How phosphogypsum is generated during phosphoric acid production
Why PG must be stored in engineered stacks
The regulatory constraints governing PG use and storage in Florida and the U.S.
Key data points disclosed
Material balance: Mosaic states that producing phosphate fertilizer generates approximately
~5 tons of phosphogypsum for every 1 ton of phosphate product.
Scale: Mosaic’s Central Florida operations generate tens of millions of tons of PG annually, contributing materially to Florida’s estimated ~1 billion tons of accumulated phosphogypsum statewide.
Engineering emphasis: Gypstacks are described as:
Large, lined, engineered structures
Designed to limit radon (Rn-222) emissions from radium-226 (Ra-226) in PG
Subject to continuous monitoring and long-term closure requirements
Why this matters
Mosaic’s fact sheets are not marketing materials; they are risk-communication documents meant to demonstrate regulatory compliance and environmental stewardship.
The documents implicitly acknowledge that PG is a long-lived liability, not a short-term waste stream.
Sources
Mosaic Florida Phosphate – Gypstack Fact Sheet
https://mosaicfloridaphosphate.com/wp-content/uploads/2025/06/GypstackFactSheet_Florida_Final.pdf
2. Public acknowledgment of rare earth element (REE) concentration in phosphogypsum and related waste streams
What Mosaic has acknowledged
Mosaic has publicly disclosed that phosphate ores processed in Florida contain meaningful concentrations of rare earth elements (REEs), and that these REEs become concentrated in secondary waste streams, including phosphogypsum.
Quantitative disclosures
From Mosaic’s own materials and workshop presentations:
Estimated total REO + Yttrium in Florida operations:
~1.75 million metric tons
Estimated REO + Y already at surface (accessible):
~1.25 million metric tons, located in:
Phosphogypsum stacks
Clay settling areas
Process ponds
Estimated recoverable REE from PG alone:
~6,900 tons per year, based on current PG generation rates and concentration estimates
These figures place Florida phosphate waste among the largest known secondary REE reservoirs in the United States.
Why this matters
Mosaic is not speculating abstractly about REEs; it has quantified the opportunity at industrial scale.
This acknowledgment reframes phosphogypsum from:
“regulated radioactive waste”
to
“regulated waste containing strategically valuable materials”
It also highlights a core NutriCrops thesis: value recovery can subsidize remediation and risk reduction.
Sources
Mosaic – Rare Earth Elements in Phosphate Operations
https://mosaicfloridaphosphate.com/wp-content/uploads/2025/06/Rare-Earth-Elements-2.pdf
US Energy Association workshop slides (Mosaic presentation)
https://usea.org/sites/default/files/Gulf%20-%20Amiri%20-%20GCR%20Workshop%20on%20Critical%20Minerals%20Sustainbility%20Mosaic%20Slides_January%2019%202021.pdf
3. Participation in critical minerals and sustainability workshops (evidence of strategic signaling)
What Mosaic has done
Mosaic has participated in federal and industry-level workshops focused on:
Critical minerals supply chains
Sustainability and domestic resource security
Phosphate waste as a secondary resource
Evidence
Mosaic presented data on REE concentrations in PG and phosphate waste at a US Energy Association (USEA) workshop on Critical Minerals Sustainability.
Presentations emphasized:
The scale of material already stockpiled
The technical feasibility (not yet commercialization) of recovery
Why this matters
Participation at this level signals:
Awareness of U.S. strategic mineral priorities
Willingness to engage in pre-competitive dialogue
Interest in policy-aligned innovation, not just internal R&amp;D
However, Mosaic has not announced commercial deployment, indicating that barriers remain significant.
Source
USEA / Mosaic presentation
https://usea.org/sites/default/files/Gulf%20-%20Amiri%20-%20GCR%20Workshop%20on%20Critical%20Minerals%20Sustainbility%20Mosaic%20Slides_January%2019%202021.pdf
4. Ongoing investment in stack integrity, monitoring, and long-term closure planning
What Mosaic is actively doing
Mosaic invests continuously in:
Gypstack structural integrity
Liner systems and seepage control
Groundwater and surface water monitoring
Radon and radiological compliance
Closure and post-closure planning, which can extend for decades
Contextual data
Florida phosphogypsum stacks:
Can exceed 200 feet in height
Require perpetual or multi-decadal care
Closure costs are significant and long-term, often measured in hundreds of millions of dollars per facility over time (industry-wide estimates, consistent with EPA and state oversight frameworks).
Why this matters
Mosaic’s investments indicate that PG management is a core, ongoing cost center, not a solved problem.
Any technology that:
Reduces PG volume
Stabilizes or de-radiates material
Converts PG into a regulator-approved product
directly impacts Mosaic’s long-term liability profile.
5. Absence of commercial PG reuse at scale — and why this is the key insight
What Mosaic is not doing
Mosaic does not currently commercialize phosphogypsum reuse at scale for:
Agriculture
Construction
Infrastructure materials
Why this absence is meaningful
Despite:
Massive volumes of PG
Quantified REE value
Decades of research globally
Continuous storage cost and liability
…the lack of commercialization highlights structural barriers, not lack of awareness.
Primary barriers (implied by Mosaic’s behavior)
Regulatory:
PG is classified as a radioactive material; reuse beyond narrow allowances requires EPA approval.
Radiological risk:
Presence of Ra-226 → Rn-222 drives conservative policy and public concern.
Liability duration:
Once PG leaves a stack, liability questions become complex and long-lived.
Market acceptance:
Even “cleaned” PG faces perception challenges.
Why this directly aligns with NutriCrops
NutriCrops is not trying to out-innovate Mosaic.
It is trying to solve the blocking constraints that prevent Mosaic (and others) from acting:
Radionuclide reduction
Regulatory alignment
Product validation pathways
Risk-sharing frameworks
Analyst synthesis (why this evidence matters)
Mosaic’s current activities show a company that:
Fully understands the scale and value embedded in phosphogypsum
Is investing heavily in managing risk, not eliminating it
Is signaling openness to innovation only when regulatory and liability risks are resolved
This makes Mosaic an ideal late-stage validation and deployment partner, and Central Florida the most credible U.S. testbed for NutriCrops’ phosphogypsum strategy.
If you’d like, next I can:
Translate this into a 1-page “Why Mosaic, Why Now” brief
Quantify closure-cost reduction scenarios enabled by PG elimination
Or map Mosaic’s posture against EPA Subpart R decision points to show exactly where NutriCrops intervenes
Just tell me the next deliverable you want.
ok make sur to include only the important activities mentioning numbers and data 
Got it 👍 — below is a cleaned, executive-ready version of “Current activities / evidence” for The Mosaic Company, limited strictly to high-signal activities and quantified with numbers/data only. No narrative fluff, no speculative language.
Current activities / evidence (data-driven only)
1. Large-scale phosphogypsum (PG) generation and management
Mosaic reports that ~5 tons of phosphogypsum are generated per 1 ton of phosphate product.
Mosaic’s Central Florida operations generate ~19–20 million tons of PG per year across three active facilities.
Florida phosphate operations collectively hold ~1 billion tons of accumulated phosphogypsum, with Mosaic representing a major share.
Evidence
Mosaic Gypstack Fact Sheet (Florida)
https://mosaicfloridaphosphate.com/wp-content/uploads/2025/06/GypstackFactSheet_Florida_Final.pdf
USGS Florida phosphogypsum stack data
https://www.usgs.gov/media/images/a-stack-phosphogypsum-florida
2. Quantified rare earth element (REE) content in phosphogypsum and related waste streams
Mosaic estimates ~1.75 million metric tons of REO + yttrium (REO+Y) contained in its Florida phosphate operations.
Of this total, ~1.25 million metric tons of REO+Y are already at surface, located in:
Phosphogypsum stacks
Clay settling areas
Process ponds
Mosaic estimates ~6,900 tons per year of potentially recoverable REE from phosphogypsum streams alone, based on current production rates.
Evidence
Mosaic – Rare Earth Elements in Phosphate Operations
https://mosaicfloridaphosphate.com/wp-content/uploads/2025/06/Rare-Earth-Elements-2.pdf
US Energy Association workshop (Mosaic presentation)
https://usea.org/sites/default/files/Gulf%20-%20Amiri%20-%20GCR%20Workshop%20on%20Critical%20Minerals%20Sustainbility%20Mosaic%20Slides_January%2019%202021.pdf
3. Engineered gypstack design, monitoring, and closure investment
Mosaic operates engineered phosphogypsum stacks exceeding 200 feet in height, designed to limit radon (Rn-222) emissions from radium-226 (Ra-226).
Gypstacks are subject to:
Continuous groundwater and surface water monitoring
Radiological compliance under EPA Clean Air Act (40 CFR Part 61, Subpart R)
Long-term closure and post-closure care, extending for decades
Stack systems and closure plans require state permits and financial assurance.
Evidence
Mosaic Gypstack Fact Sheet (Florida)
https://mosaicfloridaphosphate.com/wp-content/uploads/2025/06/GypstackFactSheet_Florida_Final.pdf
EPA Subpart R (phosphogypsum stacks)
https://www.epa.gov/radiation/subpart-r-national-emission-standards-radon-emissions-phosphogypsum-stacks
4. Participation in U.S. critical minerals and sustainability forums
Mosaic presented quantified REE data from phosphogypsum at a U.S. Energy Association Critical Minerals Sustainability Workshop (January 2021).
Presentation included:
Annual PG generation volumes
Estimated recoverable REE quantities
Acknowledgment of PG as a potential secondary critical-minerals resource
Evidence
USEA / Mosaic workshop slides
https://usea.org/sites/default/files/Gulf%20-%20Amiri%20-%20GCR%20Workshop%20on%20Critical%20Minerals%20Sustainbility%20Mosaic%20Slides_January%2019%202021.pdf
5. Absence of commercial phosphogypsum reuse at scale (evidence by omission)
Mosaic does not currently commercialize phosphogypsum reuse at scale for agriculture, construction, or infrastructure materials.
All phosphogypsum generated at Mosaic’s Central Florida facilities is:
Stored in regulated gypstacks
Managed under EPA and Florida DEP permitting frameworks
Evidence
EPA classification of phosphogypsum as a regulated radioactive byproduct
https://www.epa.gov/radiation/phosphogypsum
Mosaic Florida Gypstack documentation
https://mosaicfloridaphosphate.com/wp-content/uploads/2025/06/GypstackFactSheet_Florida_Final.pdf
Analyst takeaway (one-line, optional)
Mosaic’s published data show industrial-scale PG generation, quantified embedded REE value, and decades-long storage liability—without commercial reuse—clearly defining both the opportunity and the regulatory/technical barriers NutriCrops is designed to address.
If you want, I can now:
Compress this into 3–4 bullet points for a scorecard
Insert it directly into your NutriCrops Ecosystem Mapping Template
Or mirror this exact format for Nutrien (NC) or PCS Nitrogen (LA)</t>
  </si>
  <si>
    <t>Chevron</t>
  </si>
  <si>
    <t>Chevron Corporation is a U.S.-based multinational energy and industrial technology company headquartered in Houston, Texas. Founded in 1879, Chevron operates across oil and gas production, advanced chemical manufacturing, carbon capture and storage (CCUS), environmental remediation, and industrial process engineering.
Beyond traditional energy operations, Chevron possesses significant expertise in:
Management of Technologically Enhanced Naturally Occurring Radioactive Materials (TENORM)
Hazardous industrial waste stabilization
Subsurface containment systems
Carbon mineralization
Advanced chemical separation processes
Industrial-scale technology deployment
Chevron’s long-term operational experience in managing radium-bearing scale and radioactive by-products from oil and gas production makes it technically relevant to phosphogypsum (PG) and radioactive element mitigation challenges.</t>
  </si>
  <si>
    <t>Houston, Texas, USA</t>
  </si>
  <si>
    <t>Official Website:
https://www.chevron.com
Chevron Technology Ventures:
https://www.chevron.com/technology/technology-ventures
Chevron Phillips Chemical (Joint Venture):
https://www.cpchem.com</t>
  </si>
  <si>
    <t>Carbon Capture, Utilization &amp; Storage (CCUS)
Industrial-scale environmental remediation
Radioactive materials management (NORM/TENORM)
Advanced chemical processing and separation
Subsurface engineering and containment systems</t>
  </si>
  <si>
    <t>Radiological Material Handling &amp; Containment
Established protocols for managing radium-226 and radium-228 in oilfield scale
Regulatory-compliant TENORM disposal systems
Worker radiological safety management frameworks
Carbon Mineralization &amp; Industrial Decarbonization
CO₂ capture and sequestration systems
Mineralization of CO₂ into stable carbonate forms
Integration of industrial by-products into carbon utilization pathways
Chemical Separation &amp; Process Scale-Up
Advanced chemical processing via Chevron Phillips Chemical
Catalyst development and industrial material transformation
Engineering scale-up from pilot to commercial deployment
Environmental Remediation
Soil and groundwater remediation
Long-term liability management
Large-scale waste containment system design</t>
  </si>
  <si>
    <t>Chevron is relevant in the following dimensions:
Management of radium-bearing materials similar to PG radiological profiles
Expertise in long-term stabilization of hazardous waste sites
Potential integration of PG into carbon mineralization systems
Capability to support rare earth element (REE) extraction processes at industrial scale
Regulatory experience with EPA and state environmental agencies
Chevron does not produce phosphate or PG but possesses transferable technical expertise for stabilization, containment, and valorization.</t>
  </si>
  <si>
    <t>Chevron is currently active in:
Large-scale CCUS projects in the U.S.
Industrial decarbonization initiatives
Environmental remediation and site management
Venture investments in climate-tech and waste-to-value technologies
Chevron Technology Ventures invests in:
Industrial emissions reduction technologies
Carbon-negative material platforms
Advanced process engineering startups
Evidence sources available on corporate website and sustainability reports.</t>
  </si>
  <si>
    <t>Proprietary carbon capture and storage technologies
Industrial-scale process engineering IP
Chemical separation technologies (via CPChem)
Operational IP in radioactive waste management systems
Most IP is internally developed and proprietary; partnerships typically structured through joint development agreements.</t>
  </si>
  <si>
    <t>Corporate venture investment through Chevron Technology Ventures
Joint technology development agreements
Public-private partnerships
DOE-aligned demonstration projects
Industrial consortia participation
Chevron typically collaborates when projects align with decarbonization, energy transition, or environmental remediation priorities.</t>
  </si>
  <si>
    <t>Must align with Chevron’s decarbonization or industrial transition agenda
Corporate decision cycles may be lengthy
Focus may prioritize energy-linked projects over agriculture-linked ones
PG-specific applications require adaptation and technical validation</t>
  </si>
  <si>
    <t>Chevron provides:
Industrial-scale engineering capability
Deep expertise in radioactive material handling
Carbon mineralization integration potential
Regulatory navigation expertise
Access to capital and pilot deployment infrastructure
Chevron could serve as:
Scale-up partner
Industrial deployment partner
Radiological compliance advisor
Strategic co-investor</t>
  </si>
  <si>
    <t>Corporate Overview:
https://www.chevron.com
Chevron Technology Ventures:
https://www.chevron.com/technology/technology-ventures
Chevron Sustainability Report (for environmental and remediation activities):
https://www.chevron.com/sustainability
Chevron Phillips Chemical:
https://www.cpchem.com</t>
  </si>
  <si>
    <t>Chevron is not a phosphate-sector actor, but its TENORM management experience is structurally similar to PG radiological challenges.
Most value lies in:
Industrial scaling
Regulatory risk mitigation
Carbon-integrated stabilization
Best positioning strategy:
Frame collaboration under industrial decarbonization and radioactive waste mitigation, not agriculture.</t>
  </si>
  <si>
    <t>Chevron funding mechanisms include:
Direct corporate R&amp;D investment
Chevron Technology Ventures strategic investments
Joint industry demonstration funding
Public-private partnerships (DOE-linked projects)
Potential co-investment in pilot or demonstration facilities
Chevron does not typically provide grants but may invest through venture or strategic development structures.</t>
  </si>
  <si>
    <t>Phillips 66</t>
  </si>
  <si>
    <t>Phillips 66 is a U.S.-based diversified energy manufacturing and logistics company headquartered in Houston, Texas. Established in 2012 as a spin-off from ConocoPhillips, Phillips 66 operates across refining, midstream infrastructure, chemicals manufacturing, and emerging low-carbon technologies.
Through its joint venture Chevron Phillips Chemical (CPChem) and its refining and midstream operations, Phillips 66 possesses expertise in:
Large-scale chemical process engineering
Advanced separation technologies
Industrial waste management
Environmental remediation compliance
Carbon capture and decarbonization integration
Although not directly involved in phosphate production, Phillips 66 has transferable capabilities relevant to phosphogypsum (PG) remediation, radionuclide management, and industrial-scale valorization of mineral by-products.</t>
  </si>
  <si>
    <t>Corporate:
https://www.phillips66.com
Chevron Phillips Chemical (Joint Venture):
https://www.cpchem.com
Sustainability &amp; Environmental Reporting:
https://www.phillips66.com/sustainability</t>
  </si>
  <si>
    <t>Industrial-scale refining and chemical processing
Advanced separation technologies
Materials transformation and industrial feedstock conversion
Environmental compliance and hazardous material management
Emerging low-carbon and carbon capture initiatives</t>
  </si>
  <si>
    <t>Phillips 66 applies:
High-efficiency chemical separation systems for impurity removal
Catalyst-driven industrial transformation processes
Large-scale process optimization and integration
Regulated waste stabilization and compliance systems
In the PG context, this translates to potential support in:
Rare earth element (REE) extraction
Radionuclide chemical separation
Industrial-scale PG valorization and product conversion</t>
  </si>
  <si>
    <t>Phillips 66 does not produce PG, but its technical capabilities are relevant in:
Large-scale chemical separation for radionuclide removal
Industrial process scale-up for PG valorization
Engineering integration for REE recovery from waste streams
Hazardous material compliance and containment systems
Relevance is strongest in:
✔ Process engineering
✔ Chemical separation
✔ Scale-up and deployment
✔ Industrial systems integration</t>
  </si>
  <si>
    <t>Phillips 66 is currently engaged in:
Refinery modernization and emissions reduction
Expansion of low-carbon fuels
Chemical production via CPChem
Sustainability initiatives targeting operational emissions
CPChem remains a global leader in advanced chemical production and polymer innovation.
Public sustainability reporting confirms:
Environmental management frameworks
Waste reduction strategies
Industrial emissions mitigation programs</t>
  </si>
  <si>
    <t>Proprietary refining and chemical separation technologies
Catalyst and materials transformation IP (via CPChem)
Industrial process optimization systems
Environmental management compliance systems
IP is corporate-owned and typically commercialized internally or through structured joint ventures.</t>
  </si>
  <si>
    <t>Industrial joint ventures (e.g., CPChem)
Public-private environmental projects
Sustainability-linked partnerships
Corporate R&amp;D collaboration
Phillips 66 typically collaborates when:
Commercial scale potential exists
Strategic decarbonization alignment is clear
Regulatory risk is manageable</t>
  </si>
  <si>
    <t>Must align with chemical or decarbonization business priorities
Limited direct experience in radioactive waste management compared to Chevron
PG-specific technical adaptation required
Corporate decision cycles may be lengthy</t>
  </si>
  <si>
    <t>Phillips 66 provides:
Industrial chemical scale-up capacity
Advanced separation engineering
Hazardous material compliance expertise
Integration into Gulf Coast industrial ecosystem
Potential pathway for REE extraction commercialization
Most valuable role:
→ Industrial process scale partner
→ Chemical separation optimization partner
→ Deployment partner for PG-derived products</t>
  </si>
  <si>
    <t>Corporate Overview:
https://www.phillips66.com
Sustainability &amp; Environmental Reporting:
https://www.phillips66.com/sustainability
Chevron Phillips Chemical:
https://www.cpchem.com</t>
  </si>
  <si>
    <t>Phillips 66 is slightly less radiologically specialized than Chevron but equally strong in industrial chemical processing and deployment capability.
Strategic framing should emphasize:
Chemical separation of rare earth elements
Industrial-scale PG valorization
Gulf Coast deployment partnerships
Decarbonization-aligned industrial integration
Best positioned as:
Industrial Scale &amp; Chemical Optimization Partner</t>
  </si>
  <si>
    <t>Phillips 66 funding mechanisms may include:
Direct corporate R&amp;D collaboration
Joint venture investment (via CPChem)
Structured technology deployment partnerships
Cost-sharing pilot demonstrations
Potential participation in DOE-linked industrial projects
Phillips 66 does not operate grant programs but may engage through co-development or strategic commercial agreements.</t>
  </si>
  <si>
    <t>General Electric (GE)</t>
  </si>
  <si>
    <t>General Electric (GE) is a U.S.-based multinational industrial technology company with deep expertise in energy systems, nuclear technology, advanced materials engineering, environmental systems, and digital industrial solutions.
Following its corporate restructuring, GE’s core energy-related activities operate through:
GE Vernova (power, renewables, grid solutions, carbon management)
GE Hitachi Nuclear Energy (GEH) (advanced nuclear technologies)
GE has decades of experience in:
Nuclear engineering and radiological safety
Advanced materials science
Large-scale industrial system design
Power plant environmental controls
Waste treatment systems
GE’s nuclear and environmental engineering capabilities make it relevant to radioactive element mitigation challenges associated with phosphogypsum (PG).</t>
  </si>
  <si>
    <t>Headquarters (GE Vernova): Cambridge, Massachusetts, USA
GE Hitachi Nuclear Energy Headquarters: Wilmington, North Carolina, USA
Major U.S. Operations:
Massachusetts
North Carolina
Texas
Ohio
South Carolina
Global operations across North America, Europe, and Asia.</t>
  </si>
  <si>
    <t>GE Vernova:
https://www.gevernova.com
GE Hitachi Nuclear Energy:
https://nuclear.gepower.com
General Electric Corporate:
https://www.ge.com</t>
  </si>
  <si>
    <t>Nuclear engineering and radiological systems
Advanced materials science
Industrial-scale power and process systems
Environmental monitoring and control systems
Carbon capture and power plant decarbonization</t>
  </si>
  <si>
    <t>GE applies:
Radiological containment and nuclear safety engineering systems
Advanced materials and corrosion-resistant technologies
Industrial-scale environmental control and monitoring systems
Large-scale engineering design and system integration
In a PG context, this translates to potential support in:
Radium containment system design
Radiological risk modeling
Long-term waste stabilization engineering
Monitoring and compliance infrastructure</t>
  </si>
  <si>
    <t>GE is relevant primarily through:
Nuclear-grade radiological management expertise
Long-term containment system design
Environmental monitoring technologies
Industrial materials durability engineering
Potential alignment areas:
✔ Radionuclide immobilization system engineering
✔ Monitoring and detection systems for PG stacks
✔ Large-scale containment infrastructure design
✔ Risk modeling and regulatory compliance systems
GE does not operate in phosphate mining but possesses advanced nuclear and radiological expertise transferable to PG challenges.</t>
  </si>
  <si>
    <t>GE is currently active in:
Development of advanced nuclear reactors (GE Hitachi BWRX-300)
Nuclear fuel cycle and waste management systems
Grid modernization and decarbonization solutions
Carbon capture integration in power systems
GE Vernova is focused on:
Decarbonizing global energy systems
Industrial emissions control
Advanced monitoring technologies
GE Hitachi has long-standing experience in nuclear waste safety engineering.</t>
  </si>
  <si>
    <t>Proprietary nuclear reactor designs
Radiological containment engineering systems
Advanced industrial materials IP
Environmental monitoring and digital system integration
IP portfolio is extensive and commercially deployed in nuclear and power sectors.</t>
  </si>
  <si>
    <t>Public-private nuclear and DOE partnerships
Industrial joint ventures
Federal regulatory-aligned projects
Advanced engineering collaborations
GE typically collaborates on:
Large-scale infrastructure projects
Nuclear and environmental compliance initiatives
Government-backed demonstration programs</t>
  </si>
  <si>
    <t>Must align with nuclear safety, environmental systems, or infrastructure priorities
PG is outside GE’s traditional business lines
Adaptation required for non-nuclear radiological materials
Corporate engagement may require federal or DOE linkage</t>
  </si>
  <si>
    <t>GE provides:
Nuclear-grade radiological engineering expertise
Advanced containment and monitoring systems
Long-term environmental risk modeling
Large-scale infrastructure design capability
Regulatory credibility with NRC and DOE
GE could serve as:
→ Radiological systems engineering partner
→ Containment infrastructure designer
→ Monitoring &amp; compliance technology provider
→ Strategic credibility anchor for radioactive mitigation</t>
  </si>
  <si>
    <t>GE is one of the strongest actors for radiological engineering and containment expertise, even though it is not directly involved in mineral extraction or phosphate processing.
Best positioning strategy:
Frame collaboration around:
Radiological risk mitigation engineering
Nuclear-grade containment for PG stacks
Long-term environmental stabilization systems
GE adds strongest value in:
Validation, containment system design, and deployment engineering.</t>
  </si>
  <si>
    <t>Potential funding and collaboration pathways include:
Direct corporate engineering partnerships
Federal DOE-aligned demonstration projects
Joint public-private infrastructure initiatives
Industrial engineering contracts
GE does not provide grant funding but engages through structured infrastructure and engineering agreements.</t>
  </si>
  <si>
    <t>Carbon Solutions LLC</t>
  </si>
  <si>
    <t>Carbon Solutions LLC is a U.S.-based environmental and carbon management company specializing in geologic carbon sequestration, carbon capture integration, and subsurface storage solutions. The company focuses on technical, regulatory, and engineering support for carbon capture and storage (CCS) projects, including site characterization, geologic modeling, permitting, and long-term monitoring.
Carbon Solutions works at the intersection of:
Carbon dioxide (CO₂) sequestration
Subsurface geologic assessment
Environmental risk mitigation
Regulatory compliance (EPA Class VI wells)
Long-term containment modeling
Although primarily focused on CO₂ storage, Carbon Solutions possesses technical capabilities relevant to phosphogypsum (PG) stabilization where subsurface mineralization or containment strategies are considered.</t>
  </si>
  <si>
    <t>Headquarters: United States (commonly associated with Texas-based operations; CCS-focused regions include Gulf Coast and Midwest).
Operational focus primarily within the U.S., especially in states active in carbon sequestration permitting.</t>
  </si>
  <si>
    <t>https://www.carbonsolutionsllc.com/</t>
  </si>
  <si>
    <t>Geologic carbon sequestration
Subsurface modeling and risk assessment
Carbon capture project development
Regulatory permitting for CO₂ injection (EPA Class VI)
Environmental monitoring systems</t>
  </si>
  <si>
    <t>Carbon Solutions applies:
Geologic site characterization and reservoir modeling
CO₂ injection design and containment assessment
Long-term monitoring and risk mitigation planning
Regulatory permitting and compliance frameworks
In a PG context, this could translate to:
Evaluation of subsurface mineralization of PG-derived streams
Long-term geologic containment modeling
Risk assessment for radionuclide migration
Carbon mineralization integration with PG stabilization</t>
  </si>
  <si>
    <t>Carbon Solutions is indirectly relevant through:
Expertise in long-term subsurface containment
Risk modeling for material injection and storage
Environmental monitoring and compliance systems
Carbon mineralization project development
Potential alignment areas:
✔ PG + CO₂ mineralization pathways
✔ Subsurface stabilization concepts
✔ Radionuclide migration modeling
✔ Long-term environmental liability mitigation
Carbon Solutions does not specialize in radioactive materials directly but has strong containment and risk assessment capabilities.</t>
  </si>
  <si>
    <t>Carbon Solutions is actively engaged in:
Development of Class VI CO₂ injection wells
Carbon storage site characterization projects
Regulatory advisory for CCS project developers
Long-term geologic modeling for sequestration security
The company operates within the U.S. carbon management ecosystem, supporting federal and state-regulated CCS initiatives.</t>
  </si>
  <si>
    <t>Proprietary subsurface modeling methodologies
Reservoir simulation tools and geologic risk assessment frameworks
Regulatory compliance processes for CO₂ sequestration
Technology portfolio is focused on engineering expertise rather than patented industrial processing systems.</t>
  </si>
  <si>
    <t>Works with industrial CCS developers
Engages in regulatory and permitting partnerships
Participates in public-private carbon initiatives
Supports DOE-aligned carbon projects
Likely to collaborate in projects that involve:
Carbon mineralization
Geologic storage
Environmental risk modeling</t>
  </si>
  <si>
    <t>Does not specialize in radiological chemistry
Requires partnership with PG processing or chemical separation actors
Subsurface approaches depend on regulatory approval
Mineralization pathways require technical validation</t>
  </si>
  <si>
    <t>Carbon Solutions could provide:
Subsurface modeling for PG stabilization concepts
Carbon mineralization integration strategies
Environmental risk mitigation modeling
Regulatory pathway development (EPA Class VI expertise)
Long-term containment assurance frameworks
Most valuable as:
→ Regulatory and geologic modeling partner
→ Carbon integration advisor
→ Risk assessment and compliance specialist</t>
  </si>
  <si>
    <t>Corporate Website:
https://www.carbonsolutionsllc.com
EPA Class VI Well Information (context for CCS regulatory framework):
https://www.epa.gov/uic/class-vi-wells-used-geologic-sequestration-carbon-dioxide</t>
  </si>
  <si>
    <t>Carbon Solutions is not a mineral processing or radioactive mitigation specialist but may become strategically important if NutriCrops integrates:
CO₂ mineralization into PG stabilization
Subsurface containment strategies
Long-term geologic risk modeling
Best engagement framing:
“Carbon-integrated phosphogypsum stabilization and long-term environmental risk assurance.”</t>
  </si>
  <si>
    <t>Potential collaboration structures:
Engineering service agreements
DOE-aligned carbon demonstration projects
Joint feasibility studies
Public-private carbon initiatives
Carbon Solutions does not operate a venture arm but may participate in federally funded carbon projects.</t>
  </si>
  <si>
    <t xml:space="preserve">Electric Power Research Institute </t>
  </si>
  <si>
    <t>The Electric Power Research Institute (EPRI) is a nonprofit, independent applied research organization that conducts collaborative R&amp;D for the global energy and industrial sectors. Founded in 1972, EPRI serves more than 450 member organizations worldwide, including electric utilities, industrial operators, technology developers, regulators, and government agencies.
EPRI’s model is pre-competitive, collaborative, and deployment-oriented, making it one of the most mature open-innovation platforms in the U.S. for complex industrial materials, waste streams, and environmental risk challenges.</t>
  </si>
  <si>
    <t>Headquarters: Palo Alto, California, USA
Major U.S. Centers: Charlotte (NC), Knoxville (TN), Washington DC area
Operational Footprint: Nationwide + international member network</t>
  </si>
  <si>
    <t>https://www.epri.com/</t>
  </si>
  <si>
    <t>Industrial byproducts management (gypsum, ash, mineral residues)
Materials reuse and circular economy pathways
Environmental risk assessment &amp; regulatory compliance
Radioactivity characterization in industrial materials
Long-term storage, containment, and beneficial reuse
Pilot-scale validation and field demonstrations</t>
  </si>
  <si>
    <t>Pre-competitive collaborative R&amp;D programs
Field pilots with industrial operators
Life-cycle assessment (LCA) and techno-economic analysis (TEA)
Regulatory science &amp; stakeholder engagement
Standards development &amp; best-practice guidelines
Cross-sector translation (energy → materials → agriculture)</t>
  </si>
  <si>
    <t>EPRI has decades of experience managing industrial materials that face regulatory, environmental, and public-acceptance barriers, including:
Gypsum and synthetic gypsum streams
Materials containing naturally occurring radioactive material (NORM)
Large-volume industrial residues requiring reuse or safe immobilization
While EPRI is not phosphate-specific, its methodologies for risk characterization, reuse pathways, and regulatory alignment are directly transferable to phosphogypsum challenges.
This makes EPRI especially valuable for “making PG reuse acceptable and deployable,” not just technically feasible.</t>
  </si>
  <si>
    <t>Development of beneficial reuse frameworks for industrial byproducts
Leadership in coal ash reuse &amp; risk management (a close analog to PG)
Multi-state regulatory coordination on material reuse
Ongoing pilots involving:
Material stabilization
Encapsulation
Construction &amp; infrastructure reuse
Trusted technical advisor to utilities and regulators</t>
  </si>
  <si>
    <t>EPRI does not commercialize IP directly
Produces:
Validated technical reports
Deployment playbooks
Risk and performance datasets
Acts as a neutral IP-safe environment for multi-party innovation
This is ideal for NutriCrops, where multiple industrial actors must collaborate without IP conflict.</t>
  </si>
  <si>
    <t>Strongly Open &amp; Consortium-Based
Multi-partner research programs
Industry + government + academia
Comfortable with international collaborators
Pre-competitive by design</t>
  </si>
  <si>
    <t>Requires:
Clearly defined applied objectives
Industry co-sponsorship or relevance
Not a discovery lab — must be paired with:
National labs
Universities
Technology developers</t>
  </si>
  <si>
    <t>Solves the “last mile” problem:
Regulatory acceptance
Stakeholder confidence
Deployment logic
Brings non-phosphate industries’ lessons into PG reuse
Can help position NutriCrops outputs as:
Deployable
Replicable
Policy-ready</t>
  </si>
  <si>
    <t>https://www.epri.com/research/products
https://www.epri.com/
https://www.epri.com/about
https://www.epri.com/about/membership</t>
  </si>
  <si>
    <t>EPRI is best positioned as a deployment &amp; validation anchor, not a core science generator
Ideal partner once NutriCrops technologies reach TRL 4–5
Strong candidate to:
Host pilots
Co-develop guidelines
Engage regulators early
Helps UM6P-GHUS act as ecosystem orchestrator, not just research partner</t>
  </si>
  <si>
    <t>Evoqua Water Technologies (Xylem)</t>
  </si>
  <si>
    <t>Evoqua Water Technologies, acquired by Xylem Inc. in 2023, is a leading provider of advanced water and wastewater treatment systems for industrial, municipal, and highly regulated sectors, including nuclear, mining, chemical, and hazardous waste operations.
Within Xylem, Evoqua’s legacy portfolio represents the high-purity, high-risk end of water treatment, specializing in systems designed for radionuclides, heavy metals, and complex contaminants rather than conventional municipal water alone.</t>
  </si>
  <si>
    <t>Parent Company HQ (Xylem): Washington, DC, USA
Operational Footprint: Nationwide U.S. manufacturing, service, and deployment sites
Global Reach: Industrial deployments worldwide</t>
  </si>
  <si>
    <t>https://www.xylem.com/en-us/brand/evoqua/</t>
  </si>
  <si>
    <t>Radium and uranium removal from water
Ion exchange and adsorption systems
Membrane-based separations (RO, NF, specialty systems)
Treatment of nuclear and radiologically impacted waters
Heavy metal and inorganic contaminant removal
Industrial wastewater treatment under strict compliance regimes</t>
  </si>
  <si>
    <t>Ion exchange resins for radium/uranium capture
Adsorptive media (selective inorganic sorbents)
Membrane systems for pre- and post-treatment
Modular skid-based systems for pilot-to-scale deployment
Integrated treatment trains combining multiple unit operations
Evoqua/Xylem systems are designed to:
Operate reliably under regulated, high-liability conditions</t>
  </si>
  <si>
    <t>Evoqua/Xylem is relevant to NutriCrops in indirect but critical ways:
PG processing (washing, leaching, separation) often produces liquid effluents containing:
Radium
Uranium
Sulfates
Trace metals
Evoqua/Xylem technologies are well-suited to:
Treat PG process water
Control secondary contamination pathways
Enable closed-loop or compliant discharge systems
This makes Evoqua/Xylem essential for making PG treatment systems operable and permit-compliant, even if it does not address PG solids directly.</t>
  </si>
  <si>
    <t>Longstanding supplier to:
Nuclear facilities
DOE and DoD sites
Mining and industrial operations
Deployment of radium removal systems in drinking water and industrial contexts
Operation in EPA-regulated environments with strict discharge limits
Integration of treatment systems into larger remediation and industrial processes</t>
  </si>
  <si>
    <t>Xylem/Evoqua holds extensive process and equipment IP
Business model includes:
Sale of systems
Service and operation contracts
Technology licensing
Open to:
Integration with external processes
Joint applied innovation when commercially justified</t>
  </si>
  <si>
    <t>Selectively Open (Commercially Driven)
Open to:
Pilots
Joint demonstrations
Technology integration projects
Requires:
Clear scope
Defined commercial or regulatory need
Less open to exploratory research</t>
  </si>
  <si>
    <t>Not a discovery partner
Commercially driven engagement
Requires upstream validation of chemistry and separations
Best paired with:
ORNL / university separations science
Battelle / EPRI system integration
Veolia for full operational deployment</t>
  </si>
  <si>
    <t>Enables regulatory-compliant operation of PG treatment systems
Reduces risk of secondary contamination
Accelerates pilot-to-deployment timelines
Provides trusted, regulator-familiar hardware
Evoqua/Xylem helps NutriCrops move from:
“The separation works”
to
“The system can actually be permitted and run”</t>
  </si>
  <si>
    <t>Evoqua/Xylem should be positioned as a supporting deployment technology partner, not a headline NutriCrops innovator. Its inclusion signals that NutriCrops solutions are engineering-complete, addressing not only solid PG treatment but also liquid effluents, discharge limits, and operational realities.</t>
  </si>
  <si>
    <t>Arianne Phosphate</t>
  </si>
  <si>
    <t>Arianne Phosphate Inc. is a Canada-based mining development company focused on the Lac à Paul phosphate project in Québec. The company’s core value proposition is the development of a large-scale, high-purity phosphate rock resource designed to support sustainable fertilizer production.
Arianne positions its phosphate as:
Low in contaminants, including cadmium
Suitable for high-quality phosphoric acid production
Aligned with long-term food security and sustainable agriculture objectives
While Arianne does not manage phosphogypsum directly, its role in the upstream phosphate value chain has direct implications for PG quantity and quality downstream.</t>
  </si>
  <si>
    <t>Canada
Québec (Lac à Paul project)
Primary mining asset
Advanced development-stage phosphate project
International / Global Orientation
Market focus on:
North America
Europe
Global fertilizer markets</t>
  </si>
  <si>
    <t>https://www.arianne-inc.com/</t>
  </si>
  <si>
    <t>Phosphate rock mining and beneficiation
Low-contaminant phosphate feedstock development
Sustainable fertilizer raw materials
Long-term phosphate supply security</t>
  </si>
  <si>
    <t>Development of igneous phosphate rock, which typically:
Contains lower levels of cadmium and trace contaminants than many sedimentary deposits
Emphasis on:
High P₂O₅ content
Consistent chemical quality
Suitability for modern phosphoric acid plants
Important for NutriCrops:
Rock chemistry strongly influences PG composition, including trace metals and radionuclide profiles.</t>
  </si>
  <si>
    <t>Phosphogypsum (PG)
Arianne does not produce PG directly
However:
The chemical profile of phosphate rock directly affects:
PG volume per tonne of acid
Impurity load in PG
Higher-quality feedstock can:
Reduce downstream treatment complexity
Improve suitability for PG valorisation pathways
Radioactive Elements (NORM)
Igneous phosphate sources generally show:
Lower NORM variability than some sedimentary deposits
While not a radiochemistry actor, Arianne’s feedstock profile can:
Lower baseline radiological risk in PG</t>
  </si>
  <si>
    <t>Advancement of the Lac à Paul phosphate project through:
Feasibility and permitting processes
Infrastructure and logistics planning
Ongoing positioning as a:
Strategic phosphate supplier for low-contaminant fertilizer production
Engagement with:
Agricultural and fertilizer stakeholders
Sustainability-oriented supply chain discussions
There is no public evidence of:
PG reuse programs
PG treatment technologies
Radioactive element mitigation R&amp;D
This reinforces Arianne’s role as upstream only.</t>
  </si>
  <si>
    <t>No proprietary PG or separation technologies
Value lies in:
Resource quality
Deposit scale
Feedstock consistency</t>
  </si>
  <si>
    <t>Industry-facing, supply-chain oriented
Potential collaboration with:
Fertilizer producers
Sustainability-focused downstream programs
Limited engagement in:
Open R&amp;D ecosystems
Experimental pilots</t>
  </si>
  <si>
    <t>Project development and capital availability
Fertilizer market dynamics
Infrastructure and logistics in Québec</t>
  </si>
  <si>
    <t>Represents the “pre-PG” lever in the value chain
Highlights how:
Feedstock selection influences PG challenges
Useful for:
System-level analysis
Long-term PG reduction strategies
Upstream–downstream dialogue in NutriCrops</t>
  </si>
  <si>
    <t>Arianne Phosphate (official website):
https://www.arianne-inc.com</t>
  </si>
  <si>
    <t>Arianne Phosphate should not be positioned as a PG-solution provider. Its value to NutriCrops lies in upstream system understanding: demonstrating how phosphate rock chemistry influences downstream phosphogypsum volume, impurity load, and valorisation feasibility.
Within the NutriCrops ecosystem, Arianne fits best as a contextual and comparative upstream reference, not a core innovation partner.</t>
  </si>
  <si>
    <t>ReElement Technologies</t>
  </si>
  <si>
    <t>ReElement Technologies is a U.S.-based technology company specializing in modular, scalable separation systems for rare earth elements (REEs) and critical materials from complex feedstocks, including waste-derived and secondary sources. The company is a subsidiary of American Resources Corporation and is closely aligned with U.S. federal priorities around domestic critical minerals supply chains.
ReElement’s core value proposition is its plug-and-play, chromatography-inspired separation platform, designed to operate under real industrial conditions and to be deployed at small-to-mid scale near the waste or feedstock source—a model that aligns closely with phosphogypsum (PG) stacks and distributed PG management challenges.</t>
  </si>
  <si>
    <t>Headquarters / Operations: Indiana, USA
Deployment Model: Modular facilities deployable across multiple U.S. sites</t>
  </si>
  <si>
    <t>https://reelementtech.com/</t>
  </si>
  <si>
    <t>Rare earth element (REE) and critical mineral separation
Modular, column-based separation systems
Processing of complex, dilute, and contaminated feedstocks
Waste-to-resource and secondary source valorization
Domestic critical minerals supply chain development
Low-footprint, distributed processing systems</t>
  </si>
  <si>
    <t>Chromatographic-style separation technology adapted for industrial scale
Sequential column separation to isolate individual REEs
Modular processing units that can be:
Piloted
Replicated
Co-located with waste streams
Process control optimized for variable feedstock chemistry
ReElement’s approach is particularly suited to:
Feedstocks where bulk chemistry is challenging, and selectivity matters</t>
  </si>
  <si>
    <t>ReElement is highly relevant to NutriCrops for selective recovery pathways, with an important nuance:
Phosphogypsum can contain:
Trace rare earth elements
Radium and uranium-series radionuclides
ReElement’s platform is not designed to remove radionuclides directly for risk mitigation, but it is well-suited to:
Separating valuable REEs from PG-derived leachates
Enabling selective removal pathways that could be integrated with upstream radionuclide handling (e.g., immobilization or removal by other partners)
In a NutriCrops system, ReElement would sit downstream of or parallel to radionuclide risk management, focusing on value recovery once safety constraints are addressed.</t>
  </si>
  <si>
    <t>Deployment of modular REE processing facilities in the U.S.
Active collaboration with:
Federal and state partners
Defense and critical minerals stakeholders
Positioning as a domestic alternative to overseas REE processing
Demonstrated ability to process non-traditional feedstocks
ReElement is beyond lab-stage and actively moving toward commercial-scale deployment.</t>
  </si>
  <si>
    <t>ReElement holds proprietary separation process IP
IP is focused on:
Column design
Process sequencing
System integration
Commercially oriented but open to applied partnerships where feedstock access and scale are strategic</t>
  </si>
  <si>
    <t>Selectively Open (Applied &amp; Commercially Driven)
Open to:
Pilot deployments
Feedstock-specific optimization
Joint demonstrations
Requires:
Defined scope
Clear safety and regulatory framing
Less suited to:
Open-ended exploratory research</t>
  </si>
  <si>
    <t>Requires:
Upstream handling of radionuclides (health &amp; regulatory first)
Clear feedstock preparation (leaching, conditioning)
Commercial focus may limit deep exploratory work
Best paired with:
ORNL / university separation science (upstream)
EPA / ATSDR (risk framing)
Battelle / EPRI (system integration)</t>
  </si>
  <si>
    <t>Brings real separation hardware, not just concepts
Enables value recovery narratives from PG once safety is addressed
Modular approach fits distributed PG stack geography
Strengthens NutriCrops’ link to critical minerals strategy, not just waste remediation
ReElement helps position NutriCrops as:
A circular-economy platform, not only an environmental remediation project</t>
  </si>
  <si>
    <t>https://reelementtech.com
American Resources Corporation (Parent Company)
https://americanresourcescorp.com
ReElement – Technology Overview
https://reelementtech.com/technology</t>
  </si>
  <si>
    <t>ReElement Technologies should be positioned as a selective value-recovery partner within NutriCrops, not as the primary radioactive-risk solution. Its greatest value is in demonstrating that safe PG treatment can unlock strategic economic upside, particularly aligned with U.S. critical minerals priorities.
When sequenced correctly—after or alongside radionuclide risk controls—ReElement strengthens NutriCrops’ case for scalability, economic viability, and policy relevance.</t>
  </si>
  <si>
    <t xml:space="preserve">U.S. Geological Surevy (USGS)- Energy &amp; Minerals </t>
  </si>
  <si>
    <t>Federal Science Agency</t>
  </si>
  <si>
    <t>The U.S. Geological Survey (USGS) is the United States’ primary federal science agency for earth systems, mineral resources, geochemistry, and environmental risk assessment.
Within USGS, the Energy &amp; Minerals Program provides authoritative science on critical minerals, radioactive materials, industrial by-products, geochemical behavior, and environmental impacts of extraction and waste streams—including phosphate mining and phosphogypsum (PG).
USGS does not commercialize technology, but it plays a foundational, enabling role in innovation ecosystems by supplying data, models, analytical frameworks, and pilot-scale scientific validation that underpin regulatory decisions and industrial deployment.</t>
  </si>
  <si>
    <t>National footprint
Key operational hubs include:
Reston, Virginia (Headquarters)
Denver, Colorado
Menlo Park, California
Flagstaff, Arizona
Multiple field stations in phosphate and mining regions (Florida, Idaho, Utah, Wyoming)</t>
  </si>
  <si>
    <t>https://www.usgs.gov/</t>
  </si>
  <si>
    <t>Phosphate resources &amp; by-products (including phosphogypsum)
Radioactive element occurrence and behavior (U-series, Ra-226, Th)
Critical minerals &amp; rare earth elements (REEs)
Environmental geochemistry &amp; contaminant fate
Industrial waste characterization
Long-term environmental and human health risk assessment</t>
  </si>
  <si>
    <t xml:space="preserve">Phosphogypsum &amp; Phosphate Systems Science
National-scale assessment of phosphate deposits
Characterization of PG composition and variability
Mapping of radionuclide and REE concentrations in PG
Radiogeochemistry &amp; Radioactive Element Behavior
Study of uranium- and thorium-series radionuclides
Radium mobility, leaching, and immobilization mechanisms
Natural vs anthropogenic radiation differentiation
Critical Minerals &amp; REE Assessment
Identification of REEs and strategic elements in industrial by-products
Techno-economic pre-assessment of recovery potential
Supply-chain relevance modeling
Environmental Fate, Transport &amp; Risk Modeling
Soil–water–plant pathway modeling
Long-term environmental exposure analysis
Scenario modeling under different reuse conditions
</t>
  </si>
  <si>
    <t>USGS defines the scientific ground truth
Critical for:
PG reuse feasibility
Agricultural safety thresholds
International transferability of NutriCrops solutions</t>
  </si>
  <si>
    <t>Longstanding USGS research on phosphate mining impacts in Florida and Idaho
Published assessments on radium and uranium behavior in phosphate systems
Active role in U.S. Critical Minerals Strategy
Contributor to EPA, DOE, USDA interagency working groups on mining by-products</t>
  </si>
  <si>
    <t>USGS does not generate proprietary IP
Outputs include:
Open datasets
Scientific publications
Reference methods and models
Acts as a neutral validator and enabler, not a technology owner</t>
  </si>
  <si>
    <t>Strong interagency collaboration with:
EPA (environmental regulation science)
DOE (critical minerals, waste systems)
USDA (soil and agricultural interfaces)
Regular partnerships with:
Universities
National laboratories
State geological surveys
Ideal partner for pre-competitive, open innovation frameworks</t>
  </si>
  <si>
    <t>No commercialization mandate
No pilot deployment authority
Requires downstream partners to translate science into solutions</t>
  </si>
  <si>
    <t>Provides regulatory-grade credibility
Enables open, neutral, trusted innovation
Reduces risk for:
Industry partners
Regulators
International adopters (Africa, MENA)
Strengthens UM6P-US positioning as science-anchored, not speculative</t>
  </si>
  <si>
    <t>USGS main site:
https://www.usgs.gov/
Energy &amp; Minerals Program:
https://www.usgs.gov/programs/energy-and-minerals
Phosphate resources research:
https://www.usgs.gov/centers/energy-and-minerals-science-center
Critical minerals:
https://www.usgs.gov/critical-minerals</t>
  </si>
  <si>
    <t>USGS should be framed as a cornerstone science authority within NutriCrops—not a solution provider, but a legitimizer, risk reducer, and systems integrator at the knowledge level.
Strategically, USGS:
Strengthens Africa-relevant credibility
De-risks phosphogypsum reuse narratives
Enables UM6P-US to convene multi-stakeholder, pre-competitive coalitions</t>
  </si>
  <si>
    <t>Federally funded via:
U.S. Department of the Interior
Interagency programs (DOE, EPA, USDA)
Long-term, stable institutional support</t>
  </si>
  <si>
    <t>DOE Natioanl Laboratories (US Department of Energy labs)</t>
  </si>
  <si>
    <t>Federal Research System</t>
  </si>
  <si>
    <t>The U.S. Department of Energy (DOE) National Laboratories are a network of 17 federally funded research and development centers (FFRDCs) that conduct advanced research in energy systems, nuclear science, materials science, environmental remediation, radioactive waste management, and critical mineral recovery.
Key laboratories most relevant to phosphogypsum (PG) and radioactive element elimination include:
Oak Ridge National Laboratory (ORNL) – nuclear materials, isotope science, separation chemistry
Idaho National Laboratory (INL) – nuclear waste management, radiological systems
Lawrence Livermore National Laboratory (LLNL) – radiochemistry, advanced materials
Pacific Northwest National Laboratory (PNNL) – environmental remediation &amp; waste stabilization
National Energy Technology Laboratory (NETL) – critical minerals recovery from waste streams
Argonne National Laboratory (ANL) – materials science and advanced separations
DOE labs operate at the highest level of scientific and engineering capacity in the U.S., including nuclear-grade radiological expertise.</t>
  </si>
  <si>
    <t>Major Relevant Labs:
ORNL – Oak Ridge, Tennessee
INL – Idaho Falls, Idaho
LLNL – Livermore, California
PNNL – Richland, Washington
NETL – Pittsburgh, Pennsylvania &amp; Morgantown, West Virginia
ANL – Lemont, Illinois
DOE National Laboratory system spans the entire United States.</t>
  </si>
  <si>
    <t>DOE National Laboratories Overview:
https://www.energy.gov/national-laboratories
ORNL:
https://www.ornl.gov
INL:
https://inl.gov
LLNL:
https://www.llnl.gov
PNNL:
https://www.pnnl.gov
NETL:
https://netl.doe.gov
Argonne National Laboratory:
https://www.anl.gov</t>
  </si>
  <si>
    <t>Process flowsheet design Nuclear materials science
Radiochemistry and radionuclide separation
Radioactive waste stabilization and vitrification
Critical mineral recovery from waste streams
Environmental remediation engineering
Advanced materials characterization
Carbon mineralization and geochemistry</t>
  </si>
  <si>
    <t>Electrodialysis and membrane-based separation (Chemical Engineering) DOE National Labs apply:
Advanced radionuclide separation and immobilization chemistry
Vitrification and long-term waste stabilization systems
Critical mineral extraction from industrial waste streams
Nuclear-grade radiological containment and risk modeling
Pilot-scale validation of advanced materials processes
In a PG context, this translates to:
Radium and uranium immobilization pathways
Rare earth element (REE) extraction from PG
Advanced materials transformation of calcium sulfate streams
Radiological safety modeling and compliance design</t>
  </si>
  <si>
    <r>
      <t xml:space="preserve">Its </t>
    </r>
    <r>
      <rPr>
        <b/>
        <sz val="12"/>
        <color theme="1"/>
        <rFont val="Calibri"/>
        <family val="2"/>
        <scheme val="minor"/>
      </rPr>
      <t>Energy and Mineral Engineering department</t>
    </r>
    <r>
      <rPr>
        <sz val="12"/>
        <color theme="1"/>
        <rFont val="Calibri"/>
        <family val="2"/>
        <scheme val="minor"/>
      </rPr>
      <t xml:space="preserve"> understands large-scale mineral residues similar to PG. DOE Labs are highly relevant due to:
✔ Direct expertise in radioactive material stabilization
✔ Experience with uranium and radium chemistry
✔ Critical minerals recovery from coal ash and industrial waste
✔ Waste-to-value technology development
✔ Nuclear-grade risk mitigation systems
NETL specifically works on:
Recovery of rare earth elements from coal ash and industrial waste streams — directly comparable to PG valorization.
PNNL and ORNL have expertise in:
Radionuclide immobilization and advanced separations chemistry.
This makes DOE Labs one of the strongest technical matches for PG radioactive elimination challenges.</t>
    </r>
  </si>
  <si>
    <t>DOE National Labs are actively engaged in:
Critical mineral extraction from waste materials
Advanced radiochemical separations research
Nuclear waste stabilization and vitrification
Carbon mineralization and geochemical modeling
Environmental remediation of contaminated sites
NETL has programs specifically targeting:
Rare earth extraction from coal by-products
Waste stream mineral valorization
DOE has also funded projects focused on:
Radioactive waste immobilization technologies
Long-term geologic containment</t>
  </si>
  <si>
    <t>Extensive federally developed IP in radiochemistry
Patented separation processes
Waste immobilization technologies
Vitrification and stabilization systems
Advanced materials transformation technologies
IP may be licensed through DOE technology transfer programs.</t>
  </si>
  <si>
    <t>DOE programs for environmental management, cleanup, and advanced nuclear energy systems. Public-private partnerships
Cooperative Research and Development Agreements (CRADAs)
Federal grant-supported research
Technology licensing agreements
Industry demonstration collaborations
DOE Labs frequently collaborate with:
Universities
Private industry
International research institutions</t>
  </si>
  <si>
    <t>Requires federal funding alignment
Technology transfer processes can be complex
Deployment requires industrial partner
Budget cycles dependent on Congressional appropriations</t>
  </si>
  <si>
    <t>DOE National Laboratories provide:
Nuclear-grade radiological chemistry expertise
Advanced radionuclide immobilization pathways
Rare earth extraction technologies
Federal research credibility
Access to DOE funding programs
Technical validation capacity before industrial scale
They are essential for:
→ Radium elimination pathways
→ Uranium stabilization
→ REE recovery from PG
→ Scientific validation before commercialization
For UM6P GHUS, DOE Labs represent:
A high-priority strategic technical anchor partner for the PG challenge in the U.S.</t>
  </si>
  <si>
    <t>DOE National Labs Overview:
https://www.energy.gov/national-laboratories
NETL Critical Minerals Research:
https://netl.doe.gov/coal/rare-earth-elements
ORNL Nuclear Materials Research:
https://www.ornl.gov
PNNL Environmental Remediation:
https://www.pnnl.gov
INL Nuclear Waste Programs:
https://inl.gov</t>
  </si>
  <si>
    <t>DOE Labs are likely the strongest U.S. scientific partner for PG radioactive elimination.
Best collaboration strategy:
Begin with NETL (critical minerals focus)
Integrate ORNL or PNNL for radionuclide separation
Pair with industrial partner (Chevron/Dow/Mosaic) for scale-up
DOE Labs provide scientific depth; industry provides deployment capacity.</t>
  </si>
  <si>
    <t>Funding pathways include:
DOE competitive grants (EERE, Fossil Energy &amp; Carbon Management)
Critical Minerals Institute funding
ARPA-E funding (if innovative separation pathway)
CRADA agreements
Joint industry cost-share demonstration projects
DOE funding significantly strengthens the credibility and feasibility of a NutriCrops PG elimination initiative.</t>
  </si>
  <si>
    <t>EPA Radionuclide Programs</t>
  </si>
  <si>
    <t>The U.S. Environmental Protection Agency (EPA) is the primary federal authority responsible for protecting human health and the environment in the United States. Within EPA, Radionuclide Programs span multiple offices and statutes and are responsible for setting, implementing, and enforcing radiation protection standards across air, water, soil, waste, and materials.
EPA radionuclide programs are central to regulating Naturally Occurring Radioactive Material (NORM) and Technologically Enhanced NORM (TENORM)—the exact regulatory category under which phosphogypsum (PG) falls in the U.S.
EPA does not conduct commercial R&amp;D, but it plays a decisive enabling or blocking role in whether PG-related technologies can be piloted, permitted, reused, or scaled</t>
  </si>
  <si>
    <t>Headquarters: Washington, DC, USA
Regional Offices: 10 EPA regions nationwide (regulatory implementation)
Supporting Labs: EPA research laboratories across the U.S.</t>
  </si>
  <si>
    <t>https://www.epa.gov/radiation</t>
  </si>
  <si>
    <t>Regulation of radionuclides (Ra-226, U-238 series, Th-232 series)
NORM / TENORM risk assessment and management
Radiation exposure pathways (air, water, soil, food)
Environmental fate and transport modeling
Long-term containment and reuse standards
Public health protection thresholds</t>
  </si>
  <si>
    <t>Risk-based regulatory standards (dose limits, exposure models)
Environmental monitoring frameworks
Radiation measurement and analytical protocols
Rulemaking and guidance development
Site-specific permitting and exemption mechanisms
Interagency coordination (DOE, NRC, USGS, state agencies)</t>
  </si>
  <si>
    <t>EPA is the single most important authority governing phosphogypsum in the U.S. Key points:
EPA regulates PG under 40 CFR Part 61, Subpart R
PG contains Ra-226, making it subject to radiation emission limits
EPA historically restricted PG reuse due to radiation risk
Limited exemptions exist (e.g., agricultural research, road construction under specific conditions)
Any NutriCrops activity involving PG reuse, treatment, or off-stack utilization must align with EPA radiation rules or obtain exemptions.</t>
  </si>
  <si>
    <t>Ongoing oversight of PG stacks and radon emissions
Maintenance of federal radiation protection standards
Development of TENORM guidance used by states
Coordination with:
State environmental agencies
DOE national labs
Public health authorities
Periodic review of radiation science and risk models
EPA guidance and enforcement define the operational boundary conditions for all PG innovation in the U.S.</t>
  </si>
  <si>
    <t>EPA does not generate commercial IP
Outputs include:
Regulations
Technical guidance documents
Risk assessment methodologies
These outputs function as de facto “design constraints” for technology developers</t>
  </si>
  <si>
    <t>Conditionally Open (Regulatory Science Collaboration)
EPA collaborates with:
National laboratories (DOE)
Universities (risk studies, exposure modeling)
State agencies
Industry (through permitting and consultation)
Collaboration is non-commercial and compliance-driven, but essential.</t>
  </si>
  <si>
    <t>Not a technology partner
Slow-moving by design (rulemaking timelines)
Risk-averse, public-health-first mandate
These are constraints, but not reasons to exclude EPA — they are reasons to engage early and correctly.</t>
  </si>
  <si>
    <t>Defines what is legally possible
Enables or blocks:
PG reuse
Off-site treatment
Agricultural or materials applications
Early engagement reduces:
Regulatory surprises
Pilot failure risk
Provides credibility and public trust</t>
  </si>
  <si>
    <t>https://www.epa.gov/radiation
EPA Phosphogypsum Regulations
https://www.epa.gov/radiation/phosphogypsum
EPA TENORM Overview
https://www.epa.gov/radiation/tenorm
EPA Radionuclides in Drinking Water
https://www.epa.gov/radiation/radionuclides-drinking-water
Code of Federal Regulations – 40 CFR Part 61
https://www.ecfr.gov/current/title-40/part-61</t>
  </si>
  <si>
    <t>EPA Radionuclide Programs should be engaged as a regulatory co-design boundary, not as an innovation partner. NutriCrops technologies must be developed with EPA constraints in mind, rather than retrofitted after the fact.
For UM6P-GHUS, EPA engagement:
Signals seriousness and credibility
Reduces downstream risk
Positions NutriCrops as a responsible, science-aligned initiative
EPA should be integrated upstream in scenario design and pilot framing, even if formal approvals occur later.</t>
  </si>
  <si>
    <t>Phosphogypsum Ecosystem Hubs</t>
  </si>
  <si>
    <t>Florida Phosphate &amp; Phosphogypsum Hub (Central Florida – Tampa Bay Corridor)</t>
  </si>
  <si>
    <t>The Florida Phosphate &amp; Phosphogypsum Hub represents the largest concentration of phosphogypsum (PG) stockpiles in the world, generated by decades of phosphate fertilizer production. The region is the primary regulatory and technical reference point in the United States for phosphogypsum handling, radioactive element management (notably Ra-226), and PG reuse constraints.
Florida is the only U.S. jurisdiction where PG reuse is being cautiously reopened at the federal level, making it the most deployment-relevant hub for NutriCrops.</t>
  </si>
  <si>
    <t>Core area: Central Florida – Bone Valley region
Key cities: Tampa, Lakeland, Bartow, Mulberry
Primary corridor: Tampa Bay ↔ Polk County</t>
  </si>
  <si>
    <t>Phosphogypsum (PG) characterization and management
Radium-226 containment and exposure reduction
Stack integrity, closure, and long-term risk mitigation
PG reuse pathways under regulatory constraints
Fertilizer–soil–water interaction modeling</t>
  </si>
  <si>
    <t>Physical containment &amp; stack engineering
Leaching and mobility studies for Ra-226
Selective separation feasibility studies (REEs vs radionuclides)
Encapsulation, stabilization, and reuse risk modeling
Life-cycle assessment (LCA) of PG reuse scenarios
⚠️ Importantly:
Florida does not yet have a scalable, commercially deployed PG reuse solution, which is precisely why it is strategically critical for NutriCrops.</t>
  </si>
  <si>
    <t>Florida PG contains regulated levels of Ra-226, defining U.S. safety thresholds
PG stockpiles exceed 1 billion metric tons
Stack failures and water contamination risks are non-theoretical
Any solution claiming global relevance must pass the Florida test
NutriCrops relevance:
This hub defines the problem reality, regulatory envelope, and deployment constraints.</t>
  </si>
  <si>
    <t>Continuous stack monitoring and closure planning by Mosaic
Public technical documentation on PG generation and constraints
Acknowledgment by industry of REE presence in PG
EPA’s 2020 PG reuse rule explicitly references Florida conditions
State-level permitting frameworks evolving but still restrictive
📌 Key insight:
Florida industry is actively seeking solutions but cannot deploy them without regulatory-defensible innovation.</t>
  </si>
  <si>
    <t>No dominant proprietary PG remediation technology deployed
Strong opportunity for pre-competitive IP development
NutriCrops can position solutions as:
enabling compliance
reducing long-term liabilities
unlocking secondary value (nutrients, REEs, soil inputs)</t>
  </si>
  <si>
    <t>Strong industry–regulator–university triad
Open to applied, problem-driven partnerships
Historically conservative, but increasingly open due to:
liability pressures
closure costs
long-term monitoring obligations
Best collaboration model:
Pre-competitive, regulator-aware, pilot-focused open innovation.</t>
  </si>
  <si>
    <t>EPA &amp; FDEP approval pathways
Long permitting timelines
Public perception &amp; environmental sensitivity
Stack-specific variability in PG composition</t>
  </si>
  <si>
    <t>Defines the global gold standard problem
Offers unmatched deployment credibility
Forces solutions to be safe, scalable, and defensible
Direct link to fertilizer production and agriculture
High transferability to Morocco and Africa once validated</t>
  </si>
  <si>
    <t>Florida should be positioned as the anchor deployment hub, not the innovation bottleneck
NutriCrops should not start here technically, but must end here demonstratively
Success in Florida unlocks:
regulatory confidence
international credibility
Africa deployment narratives</t>
  </si>
  <si>
    <t>Industry spends hundreds of millions USD on:
stack maintenance
monitoring
closure liabilities
Strong incentive for cost-reducing, risk-reducing innovation
Potential co-funding from:
industry
DOE/EPA programs
state environmental initiatives</t>
  </si>
  <si>
    <t>Idaho Phosphate &amp; Geochemistry Hub (Pocatello – Idaho Falls)</t>
  </si>
  <si>
    <t>The Idaho Phosphate &amp; Geochemistry Hub is the United States’ center of excellence for western phosphate ore geochemistry, radionuclide behavior, and subsurface contaminant science. Unlike Florida, Idaho’s relevance lies not in massive phosphogypsum stacks, but in deep technical understanding of radioactive elements, rare earth elements (REEs), and their mobility, separation, and immobilization in phosphate-bearing systems.
The hub is uniquely strengthened by its proximity to Idaho National Laboratory (INL), one of the U.S. Department of Energy’s premier laboratories for radiochemistry, nuclear materials handling, separations science, and waste form stabilization.</t>
  </si>
  <si>
    <t>Core corridor: Pocatello ↔ Idaho Falls
Key sites:
Phosphate mining districts in southeastern Idaho
Idaho National Laboratory (DOE reservation)</t>
  </si>
  <si>
    <t>Phosphate ore geochemistry and radionuclide speciation
Radium, uranium, and decay-chain behavior
Rare earth element (REE) occurrence in phosphate systems
Separation, immobilization, and stabilization of radioactive elements
Subsurface transport and long-term environmental fate modeling</t>
  </si>
  <si>
    <t>Radiochemical characterization and isotopic analysis
Selective separation and extraction techniques
Nuclear waste form development (glass, ceramic, encapsulation)
Geochemical modeling of radionuclide mobility
Pilot-scale materials testing under controlled conditions
📌 Key distinction from Florida:
Idaho focuses on understanding and transforming radioactive elements, not managing legacy PG stacks.</t>
  </si>
  <si>
    <t>Western phosphate ores contain measurable radionuclides and REEs
Idaho research underpins:
how radionuclides partition into PG
how they can be separated or immobilized
INL capabilities allow safe handling of radioactive materials beyond what universities alone can do
NutriCrops relevance:
This hub is essential for designing the technical core of radioactive reduction/elimination strategies that can later be deployed in Florida and internationally.</t>
  </si>
  <si>
    <t>DOE-funded research at INL on:
separations science
radioactive waste stabilization
Longstanding remediation programs for phosphate-related contamination
Active federal–industry–university research partnerships
Ongoing REE recovery research from non-traditional sources</t>
  </si>
  <si>
    <t>Strong pre-competitive IP environment within DOE framework
Many technologies at TRL 2–4
Significant opportunity for:
joint IP development
NutriCrops-led integration and scale-up pathways</t>
  </si>
  <si>
    <t>Strong federal lab–industry–university model
Highly structured but open to mission-driven collaboration
Ideal for pre-competitive, high-complexity challenges
Best collaboration model:
NutriCrops-led open innovation with INL as a technical anchor and universities as applied research partners.</t>
  </si>
  <si>
    <t>DOE access and security protocols
Radioactive material handling regulations
Translation required from lab-scale to industrial reality</t>
  </si>
  <si>
    <t>Provides technical legitimacy in radioactive element reduction
Enables solutions impossible to develop in purely agricultural hubs
Reduces downstream deployment risk
Strengthens Africa-facing credibility for nuclear-adjacent challenges</t>
  </si>
  <si>
    <t>https://www.inl.gov/
DOE – Nuclear Materials &amp; Waste Research (INL)
https://www.energy.gov/ne/nuclear-energy-research-and-development
U.S. Geological Survey – Phosphate Rock &amp; Western Deposits
https://www.usgs.gov/centers/nmic/phosphate-rock-statistics-and-information
USGS – Rare Earth Elements in Phosphate Deposits
https://www.usgs.gov/centers/nmic/rare-earth-elements
Idaho State University – Geosciences &amp; Radiochemistry
https://www.isu.edu/geosciences/
University of Idaho – Environmental &amp; Subsurface Science
https://www.uidaho.edu/sci/geology
Simplot Phosphates – Mining &amp; Environmental Programs
https://www.simplot.com/environment</t>
  </si>
  <si>
    <t>Idaho should be positioned as the technical engine, not the public face
NutriCrops should pull knowledge out of Idaho into Florida and Texas
This hub is critical for long-term defensibility and scalability</t>
  </si>
  <si>
    <t>Texas Gulf Coast Materials &amp; Industrial Waste Innovation Hub</t>
  </si>
  <si>
    <t xml:space="preserve">A U.S. Gulf Coast–based innovation hub specializing in industrial materials processing, waste valorization, and large-scale deployment. The hub integrates universities, applied engineering centers, and heavy industry to pilot, scale, and commercialize solutions for high-volume industrial byproducts, including gypsum-based materials and treated phosphate residues. </t>
  </si>
  <si>
    <t>Houston – Galveston – Beaumont – Port Arthur, Texas (Gulf Coast Corridor)</t>
  </si>
  <si>
    <t>Industrial waste valorization
Gypsum-based and cementitious materials
Process engineering &amp; scale-up
Industrial byproduct co-processing
Circular economy &amp; materials deployment</t>
  </si>
  <si>
    <t>Conversion of treated phosphogypsum into:
Construction and cementitious materials
Industrial fillers and composites
Co-processing of PG with other industrial residues to enhance stability and performance
Continuous-flow and high-throughput process design
Design-for-manufacturing and design-for-permitting approaches</t>
  </si>
  <si>
    <t>Not a primary PG generation site, but critical for post-treatment valorization
Enables:
Industrial reuse of PG after radionuclide mitigation
Cost, logistics, and manufacturability optimization
Addresses the “last mile” problem of PG reuse: deployment at scale under regulatory and market constraints</t>
  </si>
  <si>
    <t>Ongoing industrial pilot programs via TEES focused on:
Materials scale-up
Waste-to-value processing
Active industry-sponsored research in:
Cementitious materials
Industrial waste reuse
Extensive history of public–private demonstration projects across the Gulf Coast industrial base</t>
  </si>
  <si>
    <t>Strong emphasis on:
Applied process IP
Manufacturing and systems integration IP
Favorable environment for:
Joint IP development
Pilot-validated, industry-licensed technologies
Less focus on basic science patents; high focus on deployment-ready IP</t>
  </si>
  <si>
    <t>Strongly industry-facing and deployment-driven
Public–private partnerships
Sponsored applied research
Industrial pilot and demonstration hosting
Open to external and non-U.S. origin technologies</t>
  </si>
  <si>
    <t>Regulatory approval for PG-derived materials
Public perception of industrial waste reuse
Dependence on upstream radionuclide reduction success
Logistics and transport cost sensitivity</t>
  </si>
  <si>
    <t>Converts treated phosphogypsum into deployable products
De-risks scale, cost, and manufacturability
Provides industrial credibility and market realism
Enables transition from pilot success to real adoption
Acts as the industrial backbone of the NutriCrops ecosystem</t>
  </si>
  <si>
    <t>https://rmi.org/texas-gulf-coast-clean-industrial-hub/</t>
  </si>
  <si>
    <t>This hub should be positioned as the industrial deployment pillar of NutriCrops, complementing:
Florida (PG supply &amp; field pressure)
Tennessee–Kentucky (radiological mitigation &amp; validation)
Texas Gulf Coast is where NutriCrops solutions either scale or stop.</t>
  </si>
  <si>
    <t>Midwest Critical Minerals &amp; Industrial Byproducts Hub</t>
  </si>
  <si>
    <t>The Midwest Critical Minerals &amp; Industrial Byproducts Hub spans Illinois and Ohio, integrating national laboratories, leading research universities, applied materials science centers, and industrial operators focused on the recovery, separation, and valorisation of critical minerals from industrial waste streams.
The hub is nationally recognized for its expertise in:
Separation science
Electrochemical and hydrometallurgical processing
Radiochemistry and materials characterization
Scale-up of waste-to-resource technologies
This makes the corridor highly relevant for phosphogypsum (PG) valorisation, particularly for radioactive element (NORM) management and rare earth element (REE) recovery.</t>
  </si>
  <si>
    <t>Illinois: Chicago, Argonne, Urbana-Champaign
Ohio: Columbus, Cleveland, Toledo corridor</t>
  </si>
  <si>
    <t>https://www.anl.gov/
https://illinois.edu/
https://www.osu.edu/faculty-staff
https://case.edu/</t>
  </si>
  <si>
    <t>Critical minerals recovery from industrial residues
Separation of trace elements from complex matrices
Radiochemistry and radionuclide behavior in solids
Industrial waste valorisation and circular materials systems</t>
  </si>
  <si>
    <t>Electrochemical separation of REEs and radionuclides
Solvent extraction &amp; ion exchange for trace element isolation
Thermal and chemical pre-treatment of PG
Immobilization and stabilization of NORM
Advanced materials characterization (gamma spectroscopy, radiological analysis)
These approaches directly align with IFA-identified priority pathways for safe PG recycling and radioactive risk mitigation.</t>
  </si>
  <si>
    <t>PG contains trace NORM (radium salts) and heavy metals at ppm–ppb levels
The Midwest hub specializes in detecting, separating, immobilizing, or extracting trace elements from high-volume industrial byproducts
Strong capability to support graded regulatory approaches by generating neutral, high-confidence data
👉 This hub is especially valuable for pre-commercial TRL 3–6 work prior to deployment in phosphate-intensive regions (e.g., Florida).</t>
  </si>
  <si>
    <t>Strong DOE-funded IP portfolio in:
Separation science
Critical minerals recovery
Waste-to-resource processing
Technologies often developed as platform methods, adaptable to PG rather than PG-specific only</t>
  </si>
  <si>
    <t>no</t>
  </si>
  <si>
    <t>Strongly industry-facing and government-aligned
DOE-funded public–private partnerships
Joint lab–industry pilot projects
Regular collaboration with EPA-relevant research programs
This aligns well with NutriCrops’ open innovation, regulator-ready model.</t>
  </si>
  <si>
    <t>Access to representative PG samples
Early engagement with regulators to define acceptable endpoints
Scale-up capital for pilot-to-demo transition</t>
  </si>
  <si>
    <t>Acts as a science-first validation engine
De-risks radioactive element narratives through data
Supports extraction of high-value elements that improve PG economics
Bridges U.S. critical minerals strategy with phosphate waste challenges</t>
  </si>
  <si>
    <t>Argonne National Laboratory: https://www.anl.gov
Ames National Laboratory: https://www.ameslab.gov
University of Illinois Urbana-Champaign: https://illinois.edu
Ohio State University: https://www.osu.edu
Case Western Reserve University: https://case.edu
DOE Critical Minerals Strategy: https://www.energy.gov/cmm</t>
  </si>
  <si>
    <t>The Midwest Critical Minerals Hub should be positioned as a technical backbone hub, not a deployment hub. Its value lies in science credibility, separation expertise, and regulator-facing evidence generation, feeding downstream pilots in PG-intensive regions (Florida, Texas).</t>
  </si>
  <si>
    <t>Tennessee–Kentucky</t>
  </si>
  <si>
    <t>The Tennessee–Kentucky Phosphate &amp; Environmental Remediation Hub brings together national laboratories, research universities, environmental engineering centers, and applied remediation programs focused on managing legacy phosphate byproducts, industrial residues, and radionuclide-containing materials.
The region has a long history of:
Phosphate and extractive industries
Environmental remediation of contaminated sites
Radiological monitoring and risk assessment
This makes it a highly credible, regulator-facing hub for addressing phosphogypsum (PG) and radioactive element mitigation, particularly where environmental liability, groundwater protection, and long-term stewardship are central concerns.</t>
  </si>
  <si>
    <t>Tennessee: Oak Ridge, Knoxville
Kentucky: Lexington, Louisville corridor</t>
  </si>
  <si>
    <t>Oak Ridge National Laboratory (ORNL) – Tennessee
https://www.ornl.gov
Universities
University of Tennessee, Knoxville (UTK)
https://www.utk.edu
University of Kentucky (UK)
https://www.uky.edu</t>
  </si>
  <si>
    <t>Environmental remediation of industrial waste
Radiochemistry and radionuclide behavior
Phosphate byproduct stabilization
Groundwater protection and long-term monitoring
Waste-to-resource feasibility under regulatory constraints</t>
  </si>
  <si>
    <t>Chemical stabilization and immobilization of radionuclides
Separation and treatment of phosphorus and fluorine compounds
Encapsulation and containment strategies for industrial residues
Environmental fate and transport modeling
Long-term monitoring systems for contaminated materials</t>
  </si>
  <si>
    <t>PG challenges here are treated primarily as environmental and regulatory problems, not just materials problems
Strong expertise in NORM management, risk assessment, and remediation science
Ideal hub for defining “safe endpoints” for PG reuse or transformation
👉 This hub complements separation-focused hubs by addressing environmental acceptability and regulatory confidence.</t>
  </si>
  <si>
    <t>Strong IP base in:
Radiological materials management
Environmental remediation technologies
Emphasis on risk reduction and safety, rather than pure extraction economics</t>
  </si>
  <si>
    <t>Regulator-facing and public-sector aligned
Strong DOE and EPA engagement
Applied field validation
Risk-informed decision-making culture</t>
  </si>
  <si>
    <t>Access to PG-specific materials for testing
Early alignment on regulatory use cases
Integration with deployment hubs for scale-up</t>
  </si>
  <si>
    <t>Anchors NutriCrops’ radioactivity credibility
Supports EPA- and DOE-aligned frameworks
De-risks public perception and regulatory barriers
Complements extraction- and materials-focused hubs</t>
  </si>
  <si>
    <t>Oak Ridge National Laboratory: https://www.ornl.gov
University of Tennessee, Knoxville: https://www.utk.edu
University of Kentucky: https://www.uky.edu
DOE Office of Environmental Management: https://www.energy.gov/em</t>
  </si>
  <si>
    <t>This hub should be positioned as the regulatory and radiological anchor for NutriCrops. It is not primarily about monetization, but about making PG reuse possible at all by establishing safety, compliance, and long-term stewardship credibility.</t>
  </si>
  <si>
    <t>National Academies of Sciences, Engineering, and Medicine (NASEM)</t>
  </si>
  <si>
    <t>The National Academies of Sciences, Engineering, and Medicine (NASEM) is the United States’ most authoritative, independent body for science-based advice to government, industry, and society. Established by congressional charter, NASEM convenes leading experts across disciplines to produce consensus reports, risk assessments, and science-informed guidance on complex, high-stakes challenges—particularly those involving public health, environmental risk, and emerging technologies.
NASEM does not conduct laboratory research or operate facilities, but it plays a decisive role in defining what solutions are scientifically credible, publicly acceptable, and policy-actionable—a critical function for challenges involving radioactive materials and phosphogypsum (PG).</t>
  </si>
  <si>
    <t>Headquarters: Washington, DC, USA
Operational Model: National and international expert committees, workshops, and study panels</t>
  </si>
  <si>
    <t>https://www.nationalacademies.org/</t>
  </si>
  <si>
    <t>Environmental radiation science &amp; exposure pathways
Naturally Occurring Radioactive Material (NORM / TENORM)
Environmental health risk assessment
Waste management &amp; materials reuse
Critical minerals &amp; resource recovery
Systems-level evaluation of emerging technologies
Science–policy interface for high-risk technologies</t>
  </si>
  <si>
    <t>Consensus study committees (multi-disciplinary expert panels)
Independent risk assessment &amp; synthesis
Evaluation of technology readiness vs. public health risk
Scenario analysis and policy pathway design
Stakeholder-inclusive workshops (science, regulators, industry, communities)
Evidence-based recommendations grounded in peer-reviewed science
NASEM’s approach is not “how to engineer the solution,” but:
“Is this solution scientifically sound, risk-acceptable, and ready for regulatory and societal consideration?”</t>
  </si>
  <si>
    <t>NASEM is directly relevant to NutriCrops because radioactivity—not chemistry alone—is the binding constraint on PG reuse. NASEM adds value in areas where technical solutions often fail:
Evaluation of radium (Ra-226) and uranium-series exposure risks
Comparison of risk reduction strategies (removal vs. immobilization vs. containment)
Assessment of acceptable end-use scenarios for treated PG
Analysis of long-term environmental and health impacts
Framing PG reuse within public health and environmental justice contexts
 NASEM can help determine which PG treatment pathways genuinely reduce risk, not just shift it.</t>
  </si>
  <si>
    <t>While NASEM does not run PG-specific programs, it has produced influential reports on:
Management of radioactive and hazardous wastes
Radiation exposure standards and health impacts
Environmental remediation technologies
Critical minerals and resource recovery
Long-term stewardship of contaminated materials
These reports frequently inform:
EPA rulemaking
DOE program design
Congressional funding priorities</t>
  </si>
  <si>
    <t>NASEM does not generate or own IP
Outputs include:
Consensus reports
Policy recommendations
Risk frameworks
These outputs function as legitimacy and alignment tools rather than proprietary technology
For NutriCrops, this is a feature, not a limitation.</t>
  </si>
  <si>
    <t>Open, Neutral, and Non-Commercial
NASEM collaborates with:
Federal agencies (EPA, DOE, NRC, USGS)
Universities and national labs
Industry (as input providers, not sponsors)
Civil society and public health experts
Its neutrality is its core value.</t>
  </si>
  <si>
    <t>Not a technology developer
Slow timelines (months to years)
Requires clear study questions and scope
These constraints are acceptable given NASEM’s outsized impact on credibility and acceptance.</t>
  </si>
  <si>
    <t>NASEM enables NutriCrops to:
Ground PG solutions in credible, independent science
Navigate radioactivity-related public concern
Support regulatory acceptance (EPA, states)
Reduce reputational and political risk
Frame PG reuse as risk reduction, not risk transfer
NASEM involvement can shift NutriCrops from:
“Innovative technical project”
to
“Science-backed, policy-aligned national solution”</t>
  </si>
  <si>
    <t>https://www.nationalacademies.org/ 
National Academies – Environment &amp; Environmental Studies
https://www.nationalacademies.org/our-work/environment
National Academies – Nuclear &amp; Radiation Studies
https://www.nationalacademies.org/our-work/nuclear-and-radiation-studies
National Academies – Waste Management &amp; Environmental Health
https://www.nationalacademies.org/our-work/waste-management</t>
  </si>
  <si>
    <t>NASEM should be positioned as a strategic legitimacy and risk-governance partner, not an operational actor. For NutriCrops, the optimal use of NASEM is to:
Validate which PG treatment pathways truly reduce radioactive risk
Inform EPA and state regulators
Shape future policy and funding environments
Engaging NASEM signals that NutriCrops is serious about public health, long-term stewardship, and science-based decision-making, which is essential when addressing radioactive elements.</t>
  </si>
  <si>
    <t>Texas International Educational Consortium</t>
  </si>
  <si>
    <t>U.S. Nuclear Regulatory Commission (NRC)</t>
  </si>
  <si>
    <t>Federal Regulatory Authority – Nuclear &amp; Radioactive Materials Oversight</t>
  </si>
  <si>
    <t>The U.S. Nuclear Regulatory Commission (NRC) is an independent federal agency established by Congress in 1974 to regulate civilian use of nuclear materials and ensure protection of public health, safety, and the environment from radioactive materials.
The NRC regulates:
Source material (uranium, thorium)
Special nuclear material
Byproduct material
Nuclear fuel cycle facilities
Radioactive waste disposal
Radiation dose standards
Licensing of possession, transport, and processing of radioactive materials
While phosphogypsum (PG) is primarily regulated under EPA authority as TENORM (Technologically Enhanced Naturally Occurring Radioactive Material), NRC jurisdiction becomes highly relevant if:
Uranium is chemically concentrated
Radionuclides are separated into a “hot fraction”
Radioactive material crosses regulatory thresholds
Reuse pathways involve uranium-bearing materials
The NRC defines legal boundaries for radioactive material handling in the U.S.</t>
  </si>
  <si>
    <t>Headquarters: Rockville, Maryland, USA
Regional Offices:
Region I – Pennsylvania
Region II – Georgia
Region III – Illinois
Region IV – Texas</t>
  </si>
  <si>
    <t>https://www.nrc.gov
Radioactive Materials Program:
https://www.nrc.gov/materials.html
Radiation Protection Information:
https://www.nrc.gov/about-nrc/radiation.html</t>
  </si>
  <si>
    <t>Radioactive materials licensing
Radiation dose regulation
Uranium and thorium oversight
Radiological risk modeling standards
Waste disposal regulatory frameworks
Environmental safety compliance</t>
  </si>
  <si>
    <t>The NRC applies:
Risk-based radiation exposure standards (dose limits)
Licensing frameworks for radioactive material possession and processing
Performance-based containment requirements
Radiological risk assessment and compliance review
In a PG context, this translates to:
Determining whether radionuclide concentrations trigger federal licensing
Defining permissible exposure levels
Establishing disposal classification requirements
Assessing legality of concentrated “hot fractions”
Evaluating reuse pathways containing uranium</t>
  </si>
  <si>
    <t>The NRC is highly relevant in scenarios where PG treatment involves:
✔ Uranium concentration
✔ Radium concentration beyond TENORM thresholds
✔ Creation of a separable radioactive byproduct
✔ Offsite transport of radioactive concentrate
✔ Reuse of materials containing regulated radionuclides
If NutriCrops develops:
Rare earth extraction that concentrates uranium
Radium separation technologies
Uranium recovery pathways
Then NRC licensing could become mandatory.
The NRC does not regulate raw PG stacks directly in most cases — that is primarily EPA/state — but it regulates concentrated radioactive materials.</t>
  </si>
  <si>
    <t>The NRC currently oversees:
Licensing of radioactive material users
Regulation of uranium recovery facilities
Nuclear waste disposal facilities
Decommissioning of contaminated sites
Radiation dose standards enforcement
The NRC regularly issues:
Regulatory guides
Licensing review procedures
Dose limit frameworks
Environmental impact review documents</t>
  </si>
  <si>
    <t>The NRC does not develop commercial technologies or IP.
It develops:
Regulatory standards
Dose modeling frameworks
Safety criteria
Licensing procedures
These standards define operational limits for PG-related radioactive concentration.</t>
  </si>
  <si>
    <t>The NRC does not enter traditional research partnerships.
Engagement occurs through:
Pre-licensing consultation meetings
Formal licensing applications
Regulatory compliance review
Public rulemaking and guidance processes
Interagency coordination (EPA, DOE)
Strategic engagement approach:
Early regulatory dialogue
Pre-application meetings
Regulatory pathway clarification</t>
  </si>
  <si>
    <t>NRC jurisdiction depends on radionuclide concentration levels
Licensing timelines can be long
Public transparency and review required
May require coordination with EPA and state regulators
Uranium extraction activities almost certainly trigger NRC oversight</t>
  </si>
  <si>
    <t>The NRC provides:
Legal clarity for uranium and thorium concentration
Dose limits that define safety thresholds
Licensing structure for radioactive material handling
Federal-level compliance credibility
Early warning on regulatory barriers
For UM6P GHUS NutriCrops:
NRC engagement ensures:
→ Separation processes are legally viable
→ Hot-fraction stabilization meets standards
→ No unexpected licensing roadblocks
→ Investor confidence through regulatory certainty
NRC is not a solution developer — it is the legal boundary setter.</t>
  </si>
  <si>
    <t>NRC Homepage:
https://www.nrc.gov
Radioactive Materials Licensing:
https://www.nrc.gov/materials.html
Radiation Protection Standards:
https://www.nrc.gov/about-nrc/radiation.html</t>
  </si>
  <si>
    <t>Strategically, NRC engagement is essential if NutriCrops:
Extracts uranium from PG
Concentrates radioactive elements
Creates a transportable radioactive byproduct
Seeks reuse pathways that include uranium-bearing materials
Best positioning:
Engage NRC early through pre-application consultation before any pilot-scale demonstration involving radionuclide concentration.
Ecosystem placement:
DOE Labs → Develop chemistry
SLAC → Validate immobilization
NREL → Economic modeling
Corporate partner → Scale-up
NRC → Regulatory authorization
Without NRC alignment, deployment risk increases significantly.</t>
  </si>
  <si>
    <t>The NRC does not provide research funding.
Engagement occurs through:
Licensing applications
Regulatory review fees
Public consultation processes
Funding for PG-related radioactive innovation would come from DOE, private industry, or venture partners — not NRC.</t>
  </si>
  <si>
    <t>Brazil Ecosystem Mapping</t>
  </si>
  <si>
    <t>Comissão Nacional de Energia Nuclear (CNEN)</t>
  </si>
  <si>
    <t>National Regulator / Research System</t>
  </si>
  <si>
    <t>Brazil’s federal nuclear authority; sets radiological protection, waste, minerals and radiative installation rules and oversees the national nuclear and radiological safety system.</t>
  </si>
  <si>
    <t>Rio de Janeiro, RJ, Brazil</t>
  </si>
  <si>
    <t>https://www.gov.br/cnen/en</t>
  </si>
  <si>
    <t>Radiological regulation; NORM/TENORM governance; radioactive waste and mineral controls</t>
  </si>
  <si>
    <t>Regulatory standards, licensing, radioprotection oversight, waste-management rules, and institutional gateway for nuclear/radiological collaboration</t>
  </si>
  <si>
    <t>Very high relevance: any phosphogypsum program touching Ra/U/Th, NORM handling, transport, storage, reuse, or decontamination will need CNEN alignment.</t>
  </si>
  <si>
    <t>CNEN’s norms portal lists active standards for radiological protection, radioactive waste, decommissioning, installations, and minerals/materials; page updated 03 Mar 2026.</t>
  </si>
  <si>
    <t>Best positioned for regulatory pathway definition, compliance framing, and early engagement on permissible handling/use cases.</t>
  </si>
  <si>
    <t>Policy / Regulation / Authorization</t>
  </si>
  <si>
    <t>Public-sector collaboration; essential institutional counterpart</t>
  </si>
  <si>
    <t>Project scope must fit Brazilian nuclear/radiological rules; timeline depends on regulatory pathway.</t>
  </si>
  <si>
    <t>Critical first-stop actor for lawful PG/radionuclide work in Brazil and for structuring any pilot that touches radioactive elements.</t>
  </si>
  <si>
    <t>https://www.gov.br/cnen/en | https://www.gov.br/cnen/pt-br/acesso-rapido/normas</t>
  </si>
  <si>
    <t>Priority gatekeeper rather than technology developer.</t>
  </si>
  <si>
    <t>Instituto de Radioproteção e Dosimetria (IRD/CNEN)</t>
  </si>
  <si>
    <t>National Institute / Research Center</t>
  </si>
  <si>
    <t>Brazil’s national center of expertise in radiation protection, dosimetry and ionizing-radiation metrology.</t>
  </si>
  <si>
    <t>https://www.gov.br/ird/en</t>
  </si>
  <si>
    <t>Radiation protection, dosimetry, metrology, exposure assessment</t>
  </si>
  <si>
    <t>Measurement protocols, dose assessment, monitoring design, environmental and occupational radioprotection support</t>
  </si>
  <si>
    <t>Very high relevance for quantifying and managing radiological risk from phosphogypsum stacks, processing residues, and reuse scenarios.</t>
  </si>
  <si>
    <t>IRD states that it covers all areas where people and the environment may be exposed to radiation, including industry and research.</t>
  </si>
  <si>
    <t>Strong fit for exposure baselines, radon/radium monitoring frameworks, and validation of radiological safety cases.</t>
  </si>
  <si>
    <t>Validation / Monitoring / Safety case</t>
  </si>
  <si>
    <t>Likely open to technical cooperation through CNEN ecosystem</t>
  </si>
  <si>
    <t>Works best alongside project owner or pilot host; not itself a commercialization vehicle.</t>
  </si>
  <si>
    <t>Best Brazilian partner for radioprotection design and evidence generation around PG and radioactive elements.</t>
  </si>
  <si>
    <t>Excellent for measurement, compliance evidence, and safety assurance.</t>
  </si>
  <si>
    <t>Centro Regional de Ciências Nucleares do Nordeste (CRCN-NE/CNEN)</t>
  </si>
  <si>
    <t>Regional Nuclear Research Center</t>
  </si>
  <si>
    <t>CNEN regional center serving Northeast Brazil across medicine, industry, agriculture, hydrology and environment, with training and radiological emergency support.</t>
  </si>
  <si>
    <t>Recife, PE, Brazil</t>
  </si>
  <si>
    <t>https://www.gov.br/crcnne/en</t>
  </si>
  <si>
    <t>Environmental radioactivity; regional nuclear science; applied radiological studies</t>
  </si>
  <si>
    <t>Field/lab studies on radionuclides in environmental matrices and agricultural interfaces; regional partnership hub</t>
  </si>
  <si>
    <t>High relevance because CRCN-NE researchers have published on radioactivity in phosphogypsum and soil recovery in the Brazilian semi-arid context.</t>
  </si>
  <si>
    <t>CRCN-NE describes activity in environment and radiological support; published work links the center to phosphogypsum radioactivity studies in Brazil’s Northeast.</t>
  </si>
  <si>
    <t>Good fit for field pilots, environmental monitoring, and northeastern/agricultural use-case validation.</t>
  </si>
  <si>
    <t>Applied research / Regional validation</t>
  </si>
  <si>
    <t>Open to research collaboration</t>
  </si>
  <si>
    <t>Regional center; scale-up may require coordination with industry and larger labs.</t>
  </si>
  <si>
    <t>One of the most directly PG-linked public research actors in Brazil, especially for environmental/radiological field evidence.</t>
  </si>
  <si>
    <t>https://www.gov.br/crcnne/en | https://www.gov.br/crcnne/pt-br/acesso-a-informacao/institucional/historico | https://ena-norm.eu/wp-content/uploads/2024/04/6.5.6p.pdf</t>
  </si>
  <si>
    <t>Highly aligned for northeastern Brazil and environmental/radiological validation.</t>
  </si>
  <si>
    <t>Centro de Desenvolvimento da Tecnologia Nuclear (CDTN/CNEN) – SEMAV / GRANIOTER</t>
  </si>
  <si>
    <t>National Nuclear / Strategic Minerals Research Center</t>
  </si>
  <si>
    <t>CNEN center in Minas Gerais with capabilities spanning nuclear technology, environmental technology, radioanalytical infrastructure, hydrometallurgy and strategic minerals/advanced materials.</t>
  </si>
  <si>
    <t>Belo Horizonte, MG, Brazil</t>
  </si>
  <si>
    <t>https://www.gov.br/cdtn/en</t>
  </si>
  <si>
    <t>Strategic minerals, rare earths, hydrometallurgy, environmental and radiochemical analysis</t>
  </si>
  <si>
    <t>SEMAV develops competencies in advanced materials and strategic minerals; GRANIOTER targets higher-TRL R&amp;D&amp;I in rare earths and other strategic materials.</t>
  </si>
  <si>
    <t>Very high relevance: combines nuclear/radiological capability with mineral-processing infrastructure useful for radionuclide separation and rare-earth valorization from phosphate-related streams.</t>
  </si>
  <si>
    <t>CDTN states it is the only research center dedicated to nuclear technology in Minas Gerais and operates SEMAV plus the GRANIOTER hub for strategic minerals such as rare earths.</t>
  </si>
  <si>
    <t>Among the best public-sector fits for bench-to-pilot work on separation, characterization, and de-risking of PG-linked rare earth/radionuclide routes.</t>
  </si>
  <si>
    <t>R&amp;D / Pilot support / Scale-up de-risking</t>
  </si>
  <si>
    <t>Open to R&amp;D and innovation partnerships</t>
  </si>
  <si>
    <t>Commercial deployment still needs industrial host, economics, and regulatory alignment.</t>
  </si>
  <si>
    <t>One of the strongest Brazilian hubs for the exact overlap of strategic minerals + radiological competence.</t>
  </si>
  <si>
    <t>https://www.gov.br/cdtn/en | https://www.gov.br/cdtn/en/composition/servicos-e-secoes/servico-de-minerais-estrategicos-e-materiais-avancados-semav | https://www.gov.br/cdtn/en/projetos-especiais/granioter | https://www.gov.br/cdtn/en/laboratorios</t>
  </si>
  <si>
    <t>Top-priority technical hub for UM6PGHUS scouting in Brazil.</t>
  </si>
  <si>
    <t>Instituto de Pesquisas Energéticas e Nucleares (IPEN/CNEN) – Environmental Radiometry Lab</t>
  </si>
  <si>
    <t>National Nuclear Research Institute / University-Linked Lab</t>
  </si>
  <si>
    <t>Major Brazilian nuclear research institute linked to CNEN and academically connected to USP; hosts graduate training and radiometry infrastructure.</t>
  </si>
  <si>
    <t>São Paulo, SP, Brazil</t>
  </si>
  <si>
    <t>https://www.gov.br/ipen/pt-br/</t>
  </si>
  <si>
    <t>Environmental radiometry, radionuclide analysis, leaching studies, radon/radium behavior</t>
  </si>
  <si>
    <t>Analytical characterization of radionuclides and rare earths in phosphate rock, fertilizers and phosphogypsum; environmental radiometry and emissions studies</t>
  </si>
  <si>
    <t>Very high relevance: IPEN researchers have published extensively on radionuclides, REEs, leachability, and radon exhalation in Brazilian phosphogypsum.</t>
  </si>
  <si>
    <t>IPEN’s Environmental Radiometry Lab performs radiometry services; the institute has publications on natural radionuclides, REEs, and radon exhalation in phosphogypsum.</t>
  </si>
  <si>
    <t>Best fit for rigorous analytical baselines, contaminant mass-balance work, and lab validation of removal or immobilization routes.</t>
  </si>
  <si>
    <t>Characterization / Lab validation / Training</t>
  </si>
  <si>
    <t>Strong academic collaboration orientation</t>
  </si>
  <si>
    <t>Mostly lab/validation oriented; industrialization needs pilot host and process partner.</t>
  </si>
  <si>
    <t>Arguably the single strongest scientific node in Brazil for phosphogypsum radiochemistry and analytical validation.</t>
  </si>
  <si>
    <t>https://www.gov.br/ipen/pt-br/ | https://www.ipen.br/portal_esp/portal/interna.php?campo=70&amp;secao_id=45 | https://repositorio.ipen.br/bitstreams/1c7fbabf-0976-4e1b-a5fe-5d1cd19b87d8/download | https://repositorio.ipen.br/bitstreams/df38e4b7-c141-4a94-8894-594ffae3a2ed/download</t>
  </si>
  <si>
    <t>Top-tier science partner for PG + radionuclides.</t>
  </si>
  <si>
    <t>Centro de Tecnologia Mineral (CETEM)</t>
  </si>
  <si>
    <t>National Mineral Technology Center</t>
  </si>
  <si>
    <t>Federal mineral technology center focused on sustainable and economic use of Brazilian mineral resources and innovation in the mining-metallurgy sector.</t>
  </si>
  <si>
    <t>https://cetem.gov.br/</t>
  </si>
  <si>
    <t>Mineral processing, hydrometallurgy, rare earth refining, circular mineral technologies</t>
  </si>
  <si>
    <t>Process development for mineral beneficiation, hydrometallurgy, solvent extraction, and strategic-materials / rare-earth flowsheets</t>
  </si>
  <si>
    <t>High relevance because PG valorization can be coupled to rare-earth recovery and CETEM has explicit capabilities in rare-earth refining and strategic-minerals networks.</t>
  </si>
  <si>
    <t>CETEM says it develops technologies for sustainable/economic mineral resources; it also states it contributes expertise to refining rare earths from mineral and reused materials.</t>
  </si>
  <si>
    <t>Excellent partner for process design, bench/pilot hydrometallurgy, and techno-environmental assessment of REE recovery from PG-derived streams.</t>
  </si>
  <si>
    <t>Process R&amp;D / Pilot support / Techno-economic work</t>
  </si>
  <si>
    <t>Open to company and institute partnerships</t>
  </si>
  <si>
    <t>Needs radioprotection partners for radioactive elements; not itself the main nuclear regulator.</t>
  </si>
  <si>
    <t>Best non-nuclear federal center for the mineral-processing side of PG valorization and REE extraction.</t>
  </si>
  <si>
    <t>https://cetem.gov.br/ | https://www.gov.br/cetem/pt-br/assuntos/noticias/cetem-integra-rede-nacional-de-pesquisa-estrategica-sobre-materiais-avancados-e-terras-raras-1 | https://www.gov.br/cetem/pt-br/assuntos/noticias/pesquisador-do-cetem-defende-investimentos-em-terras-raras-durante-audiencia-no-senado</t>
  </si>
  <si>
    <t>Top-priority mineral-processing counterpart.</t>
  </si>
  <si>
    <t>University of São Paulo (USP) – IPEN/USP nuclear technology ecosystem</t>
  </si>
  <si>
    <t>Brazil’s flagship research university and the academic home for IPEN-linked graduate training in nuclear technology.</t>
  </si>
  <si>
    <t>https://www5.usp.br/</t>
  </si>
  <si>
    <t>High-end academic research, nuclear technology training, analytical science</t>
  </si>
  <si>
    <t>University-led talent pipeline and cross-disciplinary research around nuclear technology, chemistry, materials, and environmental analysis</t>
  </si>
  <si>
    <t>High relevance because it provides top-ranked academic depth and a talent base connected to IPEN’s PG/radiometry work.</t>
  </si>
  <si>
    <t>USP describes itself as Brazil’s major institution of higher learning and research; QS ranks USP #108 globally in 2026, the top Brazilian university in the list.</t>
  </si>
  <si>
    <t>Very strong for sponsored research, joint supervision, and recruiting high-level students/postdocs into PG-remediation programs.</t>
  </si>
  <si>
    <t>Fundamental research / Talent pipeline</t>
  </si>
  <si>
    <t>High openness to academic collaboration</t>
  </si>
  <si>
    <t>Indirect pathway to deployment; best used with IPEN, CETEM, or industry.</t>
  </si>
  <si>
    <t>Best-ranked academic anchor in Brazil for long-term capability building around PG and radionuclides.</t>
  </si>
  <si>
    <t>https://www5.usp.br/ | https://www.prpg.usp.br/en/enrolling-at-usp/list-of-courses/855-nuclear-technology | https://www.topuniversities.com/world-university-rankings?countries=br</t>
  </si>
  <si>
    <t>Use as prestige/talent anchor, not as standalone commercialization route.</t>
  </si>
  <si>
    <t>Federal University of Minas Gerais (UFMG) – Nuclear Engineering / CDTN-linked ecosystem</t>
  </si>
  <si>
    <t>Leading Brazilian public university with strong engineering and a historical/operational linkage to the nuclear technology ecosystem in Minas Gerais.</t>
  </si>
  <si>
    <t>https://www.ufmg.br/</t>
  </si>
  <si>
    <t>Nuclear engineering, radiological systems, process and materials science</t>
  </si>
  <si>
    <t>Graduate training and research through the Department of Nuclear Engineering and the Nuclear Science &amp; Techniques program</t>
  </si>
  <si>
    <t>High relevance through its proximity to CDTN and nuclear-engineering talent for PG/radionuclide projects.</t>
  </si>
  <si>
    <t>UFMG is a regional and national leader in research; it rose to #595 in QS World University Rankings 2026 and its nuclear graduate program is active for 2025 admissions.</t>
  </si>
  <si>
    <t>Strong fit for student/faculty collaboration, co-supervision, and research depth around nuclear/environmental engineering.</t>
  </si>
  <si>
    <t>Research / Talent pipeline / Collaborative validation</t>
  </si>
  <si>
    <t>Open to academic and institute collaboration</t>
  </si>
  <si>
    <t>Best when paired with CDTN or industrial host for applied pilot work.</t>
  </si>
  <si>
    <t>Useful anchor in Minas Gerais where strategic-minerals and phosphate ecosystems are strongest.</t>
  </si>
  <si>
    <t>https://www.ufmg.br/international/about-the-ufmg/ | https://www2.ufmg.br/ | https://www3.ufmg.br/comunicacao/noticias/ufmg-sobe-76-posicoes-no-ranking-global-da-qs | https://www.nuclear.ufmg.br/wp-content/uploads/2024/12/Edital_Regular_Ciencias_e_Tecnicas_Nucleares_MD_2025.pdf</t>
  </si>
  <si>
    <t>High-value academic feeder into CDTN-centered collaborations.</t>
  </si>
  <si>
    <t>Federal University of Rio de Janeiro (UFRJ) – COPPE / Mineral Technology Lab</t>
  </si>
  <si>
    <t>Major federal university with broad engineering scale; COPPE is its leading graduate engineering institute, including mineral technology capability relevant to process scale-up.</t>
  </si>
  <si>
    <t>https://ufrj.br/en/</t>
  </si>
  <si>
    <t>Process engineering, mineral technology, scale-up engineering, sustainability</t>
  </si>
  <si>
    <t>Bench and pilot engineering for mineral processing and waste valorization; systems and sustainability analysis</t>
  </si>
  <si>
    <t>Moderate-high relevance: less directly phosphogypsum-radiochemistry focused than IPEN/CDTN, but valuable for process engineering, LCA, and industrial scale-up design.</t>
  </si>
  <si>
    <t>UFRJ is one of Brazil’s premier universities; QS 2026 places it at #317 globally and COPPE coordinates UFRJ’s graduate engineering ecosystem. COPPE’s Mineral Technology Lab provides mineral-processing infrastructure.</t>
  </si>
  <si>
    <t>Good second-wave partner for engineering scale-up, systems integration, and broader industrial project design.</t>
  </si>
  <si>
    <t>Scale-up engineering / Process integration</t>
  </si>
  <si>
    <t>Strong university-industry collaboration culture</t>
  </si>
  <si>
    <t>Direct radionuclide-removal specialization appears weaker than CNEN/IPEN/CDTN nodes.</t>
  </si>
  <si>
    <t>Good complement to a CNEN/IPEN/CETEM-led program when moving toward pilot engineering.</t>
  </si>
  <si>
    <t>https://ufrj.br/en/ | https://coppe.ufrj.br/en/home-en/ | https://ltm.coppe.ufrj.br/o-ltm | https://parque.ufrj.br/por-dentro-do-parque/ufrj-e-destaque-no-qs-world-university-rankings-2026/</t>
  </si>
  <si>
    <t>Useful but not first-priority for the radiological core challenge.</t>
  </si>
  <si>
    <t>Mosaic Fertilizantes Brasil</t>
  </si>
  <si>
    <t>Industrial Host / Corporate Partner</t>
  </si>
  <si>
    <t>Major phosphate and potash producer in Brazil; owner/operator of phosphate-related assets and phosphogypsum generation streams relevant to industrial pilots.</t>
  </si>
  <si>
    <t>Uberaba, MG, Brazil (plus wider Brazil footprint)</t>
  </si>
  <si>
    <t>https://mosaicco.com.br/</t>
  </si>
  <si>
    <t>Phosphate production, phosphogypsum stack ownership, industrial operations</t>
  </si>
  <si>
    <t>Industrial host site, sample access, process data, stack management, potential pilot and off-take platform</t>
  </si>
  <si>
    <t>Very high relevance because industrial access to phosphogypsum stacks is essential for any credible separation/remediation pilot in Brazil.</t>
  </si>
  <si>
    <t>Mosaic Brasil states it extracts and processes phosphate and potash minerals into crop nutrients; Rainbow says the Uberaba project is based on phosphogypsum owned by Mosaic.</t>
  </si>
  <si>
    <t>Essential real-world counterpart if the goal is not just research but an implementable PG project in Brazil.</t>
  </si>
  <si>
    <t>Pilot host / Deployment partner / Data owner</t>
  </si>
  <si>
    <t>Selective strategic collaboration</t>
  </si>
  <si>
    <t>Commercial confidentiality, site access, and JV economics will shape collaboration feasibility.</t>
  </si>
  <si>
    <t>No Brazil PG-remediation mapping is complete without the owner/operator side of the feedstock.</t>
  </si>
  <si>
    <t>https://mosaicco.com.br/ | https://www.rainbowrareearths.com/project/uberaba/</t>
  </si>
  <si>
    <t>Critical industrial gateway in Uberaba.</t>
  </si>
  <si>
    <t>Rainbow Rare Earths – Uberaba Project</t>
  </si>
  <si>
    <t>New Venture / Project Developer</t>
  </si>
  <si>
    <t>Rare-earth developer advancing a Brazil project based on recovering rare earths from phosphogypsum in partnership with Mosaic at Uberaba.</t>
  </si>
  <si>
    <t>Uberaba, MG, Brazil</t>
  </si>
  <si>
    <t>https://www.rainbowrareearths.com/project/uberaba/</t>
  </si>
  <si>
    <t>Rare-earth recovery from phosphogypsum</t>
  </si>
  <si>
    <t>Process development to extract TREO/NdPr/Dy/Tb from phosphogypsum-derived feedstock</t>
  </si>
  <si>
    <t>Extremely high relevance: this is the clearest venture-scale proof that Brazil PG is being treated as a rare-earth opportunity rather than only a waste problem.</t>
  </si>
  <si>
    <t>Rainbow states Uberaba will process phosphogypsum from phosphoric-acid production and that the project has entered economic-assessment work with Mosaic.</t>
  </si>
  <si>
    <t>Best venture benchmark and potential collaboration/comparison case for economics, flowsheets, and partner strategy.</t>
  </si>
  <si>
    <t>Venture development / Economic assessment / Pilot-to-project pathway</t>
  </si>
  <si>
    <t>Commercial partnership oriented</t>
  </si>
  <si>
    <t>Medium-High</t>
  </si>
  <si>
    <t>Proprietary economics and partner structure may limit access; venture priorities may not align with open ecosystem building.</t>
  </si>
  <si>
    <t>Most directly aligned Brazil-based new venture for PG valorization via rare-earth extraction.</t>
  </si>
  <si>
    <t>https://www.rainbowrareearths.com/project/uberaba/ | https://markets.ft.com/data/announce/detail?dockey=1323-17088807-44ID3F69HDB0CRF5U86LBUEABC</t>
  </si>
  <si>
    <t>Highest-priority venture to watch in Brazil.</t>
  </si>
  <si>
    <t>India Ecosystem Mapping</t>
  </si>
  <si>
    <t>Bhabha Atomic Research Centre (BARC)</t>
  </si>
  <si>
    <t>India’s flagship nuclear R&amp;D center with capabilities in radiochemistry, radiation science, and radioactive waste management.</t>
  </si>
  <si>
    <t>Mumbai, Maharashtra, India</t>
  </si>
  <si>
    <t>https://www.barc.gov.in</t>
  </si>
  <si>
    <t>Radiochemistry, radiation measurement, radioactive waste management</t>
  </si>
  <si>
    <t>Radionuclide characterization, radiological risk assessment, contaminant partitioning, validation of decontamination pathways for Ra/U/Th-bearing residues</t>
  </si>
  <si>
    <r>
      <t>Very high</t>
    </r>
    <r>
      <rPr>
        <sz val="11"/>
        <color rgb="FF000000"/>
        <rFont val="Calibri"/>
        <family val="2"/>
        <scheme val="minor"/>
      </rPr>
      <t>for radioactive-element reduction and validation in PG</t>
    </r>
  </si>
  <si>
    <t>BARC publicly presents itself as a multidisciplinary nuclear R&amp;D center; its Waste Management Division materials show active work on radioactive waste management. </t>
  </si>
  <si>
    <t>Likely strongest in protocols, analytical know-how, and validation rather than openly commercial IP</t>
  </si>
  <si>
    <t>Validation / pilot support / regulatory credibility</t>
  </si>
  <si>
    <t>Selective; strongest through formal institutional or government-backed consortia</t>
  </si>
  <si>
    <t>Low technical risk; medium access risk</t>
  </si>
  <si>
    <t>Sensitive domain; access, approvals, and scope definition may be challenging</t>
  </si>
  <si>
    <r>
      <t>Best India-based actor for the </t>
    </r>
    <r>
      <rPr>
        <b/>
        <sz val="11"/>
        <color rgb="FF000000"/>
        <rFont val="Calibri"/>
        <family val="2"/>
        <scheme val="minor"/>
      </rPr>
      <t>radioactivity</t>
    </r>
    <r>
      <rPr>
        <sz val="11"/>
        <color rgb="FF000000"/>
        <rFont val="Calibri"/>
        <family val="2"/>
        <scheme val="minor"/>
      </rPr>
      <t>side of the PG problem</t>
    </r>
  </si>
  <si>
    <t>BARC official site; Waste Management Division material. </t>
  </si>
  <si>
    <t>Treat as the radiological authority in a consortium, not the sole commercialization lead</t>
  </si>
  <si>
    <t>IIT Bombay – Centre of Excellence on Critical Minerals, Metals and Materials (CoE-CMMM)</t>
  </si>
  <si>
    <t>National hub for sustainable technologies in exploration, extraction, process metallurgy, recycling, and policy for critical minerals.</t>
  </si>
  <si>
    <t>https://www.chem.iitb.ac.in/coe-cmmm/</t>
  </si>
  <si>
    <t>Critical minerals, process metallurgy, recycling</t>
  </si>
  <si>
    <t>Hydrometallurgy, separations, process metallurgy, recycling, flowsheet design for critical mineral recovery from secondary resources</t>
  </si>
  <si>
    <r>
      <t>Very high</t>
    </r>
    <r>
      <rPr>
        <sz val="11"/>
        <color rgb="FF000000"/>
        <rFont val="Calibri"/>
        <family val="2"/>
        <scheme val="minor"/>
      </rPr>
      <t> for REE recovery from PG and process design</t>
    </r>
  </si>
  <si>
    <t>IIT Bombay states the CoE covers exploration, extraction, process metallurgy, recycling, and policy; PIB lists it among NCMM CoEs. </t>
  </si>
  <si>
    <t>Good candidate for co-developed process IP, separation chemistry, and techno-economics</t>
  </si>
  <si>
    <t>Discovery / validation / pilot design</t>
  </si>
  <si>
    <t>High; structured for consortium work under NCMM</t>
  </si>
  <si>
    <t>Needs industrial feedstock access and radiological partner for full PG-radioactivity scope</t>
  </si>
  <si>
    <r>
      <t>Strongest academic anchor if UM6P wants </t>
    </r>
    <r>
      <rPr>
        <b/>
        <sz val="11"/>
        <color rgb="FF000000"/>
        <rFont val="Calibri"/>
        <family val="2"/>
        <scheme val="minor"/>
      </rPr>
      <t>PG remediation + REE recovery</t>
    </r>
    <r>
      <rPr>
        <sz val="11"/>
        <color rgb="FF000000"/>
        <rFont val="Calibri"/>
        <family val="2"/>
        <scheme val="minor"/>
      </rPr>
      <t>together</t>
    </r>
  </si>
  <si>
    <t>IIT Bombay CoE page; PIB NCMM CoE announcement. </t>
  </si>
  <si>
    <t>One of the top India partners for a critical-minerals framing of PG</t>
  </si>
  <si>
    <t>CSIR–Institute of Minerals and Materials Technology (CSIR-IMMT)</t>
  </si>
  <si>
    <t>CSIR institute focused on minerals, materials, hydro/electrometallurgy, and development/commercialization of extraction processes.</t>
  </si>
  <si>
    <t>Bhubaneswar, Odisha, India</t>
  </si>
  <si>
    <t>https://www.immt.res.in</t>
  </si>
  <si>
    <t>Hydrometallurgy, extractive metallurgy, secondary resource processing</t>
  </si>
  <si>
    <t>Treatment of low-grade ores, minerals waste, and by-products; hydrometallurgical processing and process-package development</t>
  </si>
  <si>
    <r>
      <t>Very high</t>
    </r>
    <r>
      <rPr>
        <sz val="11"/>
        <color rgb="FF000000"/>
        <rFont val="Calibri"/>
        <family val="2"/>
        <scheme val="minor"/>
      </rPr>
      <t>for PG-to-REE recovery; medium-high for contaminant partitioning</t>
    </r>
  </si>
  <si>
    <t>IMMT states its hydro/electrometallurgy group works on minerals waste and by-products and on commercialization of extraction processes. </t>
  </si>
  <si>
    <t>Strong candidate for process know-how and pilotable hydrometallurgical schemes</t>
  </si>
  <si>
    <t>Validation / pilot development</t>
  </si>
  <si>
    <t>High for public lab–industry consortia</t>
  </si>
  <si>
    <t>Low-to-medium</t>
  </si>
  <si>
    <t>Needs PG feedstock access and radiological specialist for full radioactive-element workstream</t>
  </si>
  <si>
    <t>Excellent metallurgy partner, especially given proximity to Paradeep PG generation</t>
  </si>
  <si>
    <t>IMMT research area, department page, mission/goal. </t>
  </si>
  <si>
    <t>Regional hub logic is strong: IMMT + Paradeep</t>
  </si>
  <si>
    <t>CSIR–National Metallurgical Laboratory (CSIR-NML)</t>
  </si>
  <si>
    <t>CSIR metallurgical lab with pilot facilities and work in extraction, recycling, and rare-earth recovery from secondary resources.</t>
  </si>
  <si>
    <t>Jamshedpur, Jharkhand, India</t>
  </si>
  <si>
    <t>https://www.nmlindia.org</t>
  </si>
  <si>
    <t>Metallurgical process engineering, pilot scale-up, extraction &amp; recycling</t>
  </si>
  <si>
    <t>Pilot-scale metallurgy, metal extraction, recycling, and engineering translation for critical minerals and secondary resources</t>
  </si>
  <si>
    <r>
      <t>High</t>
    </r>
    <r>
      <rPr>
        <sz val="11"/>
        <color rgb="FF000000"/>
        <rFont val="Calibri"/>
        <family val="2"/>
        <scheme val="minor"/>
      </rPr>
      <t> for pilot scale-up and demonstration; less direct on PG-specific radiological science</t>
    </r>
  </si>
  <si>
    <t>NML’s Metal Extraction &amp; Recycling Division references pilot-scale extraction from secondary resources including REE recovery, and its pilot facilities support scale-up. </t>
  </si>
  <si>
    <t>Strong in translation and pilot engineering rather than first-discovery PG chemistry</t>
  </si>
  <si>
    <t>Pilot / pre-commercial validation</t>
  </si>
  <si>
    <t>Medium-high</t>
  </si>
  <si>
    <t>More useful after chemistry is defined upstream</t>
  </si>
  <si>
    <t>Valuable for moving lab PG flowsheets toward demonstration</t>
  </si>
  <si>
    <t>NML division and pilot facilities; PIB CoE listing. </t>
  </si>
  <si>
    <t>Best used after BARC + IIT Bombay/IMMT define the science</t>
  </si>
  <si>
    <t>Non-Ferrous Technology Development Centre (NFTDC)</t>
  </si>
  <si>
    <t>Technology development center with concept-to-product, pilot production, advanced materials, and process-product integration capabilities.</t>
  </si>
  <si>
    <t>Hyderabad, Telangana, India</t>
  </si>
  <si>
    <t>https://www.nftdc.res.in</t>
  </si>
  <si>
    <t>Translational R&amp;D, pilot production, advanced materials, non-ferrous processing</t>
  </si>
  <si>
    <t>Process-product integration, pilot production, scale-up, and rare-earth-related pilot infrastructure</t>
  </si>
  <si>
    <r>
      <t>High</t>
    </r>
    <r>
      <rPr>
        <sz val="11"/>
        <color rgb="FF000000"/>
        <rFont val="Calibri"/>
        <family val="2"/>
        <scheme val="minor"/>
      </rPr>
      <t> for demonstration and pilotization of PG-derived recovery routes</t>
    </r>
  </si>
  <si>
    <t>NFTDC states it works from concept to product with pilot production; its materials-and-energy platform describes TRL progression from 3 to 7; project pages emphasize process-product integration and pilot production. </t>
  </si>
  <si>
    <t>Strong translational know-how; likely valuable for engineering packages and pilot systems</t>
  </si>
  <si>
    <t>Pilot / demonstration</t>
  </si>
  <si>
    <t>High in structured mission-mode collaborations</t>
  </si>
  <si>
    <t>Depends on defined upstream chemistry and feedstock specs</t>
  </si>
  <si>
    <t>Strong bridge from lab proof-of-concept to pilotable systems</t>
  </si>
  <si>
    <t>NFTDC home, MECSP, projects pages. </t>
  </si>
  <si>
    <t>Strong complement to IMMT or IIT Bombay if pilot hardware matters</t>
  </si>
  <si>
    <t>IIT Hyderabad / Australia-India Critical Minerals Research Hub (AICMRH)</t>
  </si>
  <si>
    <t>IIT Hyderabad-linked international research hub established with Monash for critical minerals and sustainable mining innovation.</t>
  </si>
  <si>
    <t>https://www.iith.ac.in</t>
  </si>
  <si>
    <t>Critical minerals, sustainable mining, international collaboration</t>
  </si>
  <si>
    <t>Consortium-based research on critical minerals, sustainable extraction, and innovation platform building</t>
  </si>
  <si>
    <r>
      <t>Medium-high</t>
    </r>
    <r>
      <rPr>
        <sz val="11"/>
        <color rgb="FF000000"/>
        <rFont val="Calibri"/>
        <family val="2"/>
        <scheme val="minor"/>
      </rPr>
      <t>; more valuable as a consortium and network node than a direct PG chemistry leader</t>
    </r>
  </si>
  <si>
    <t>IIT Hyderabad and AICMRH materials state the hub was established with Monash University to drive innovation in critical minerals and sustainable mining; IIT Hyderabad is also listed among NCMM CoEs. </t>
  </si>
  <si>
    <t>Collaboration and platform value likely exceeds standalone PG-specific IP value</t>
  </si>
  <si>
    <t>Discovery / validation / network building</t>
  </si>
  <si>
    <t>Needs specialized PG/radiological partners for direct application</t>
  </si>
  <si>
    <t>Useful if UM6P wants India work nested in a broader international critical-minerals platform</t>
  </si>
  <si>
    <t>AICMRH pages; PIB CoE announcement. </t>
  </si>
  <si>
    <t>Strategic partner more than tactical lead</t>
  </si>
  <si>
    <t>IREL (India) Limited</t>
  </si>
  <si>
    <t>Government-owned rare-earth and mineral sands company with rare earth extraction and refining assets.</t>
  </si>
  <si>
    <t>Mumbai, Maharashtra, India; major operations in Odisha and Kerala</t>
  </si>
  <si>
    <t>https://www.irel.co.in</t>
  </si>
  <si>
    <t>Rare-earth extraction and refining</t>
  </si>
  <si>
    <t>Industrial rare-earth extraction, concentration, and refining infrastructure</t>
  </si>
  <si>
    <r>
      <t>High</t>
    </r>
    <r>
      <rPr>
        <sz val="11"/>
        <color rgb="FF000000"/>
        <rFont val="Calibri"/>
        <family val="2"/>
        <scheme val="minor"/>
      </rPr>
      <t> for downstream value capture from PG-derived REEs; lower for direct radionuclide-removal science</t>
    </r>
  </si>
  <si>
    <t>IREL’s site lists OSCOM Rare Earth Extraction Plant in Odisha and Rare Earths Division Aluva for refining separated high-pure rare earths. </t>
  </si>
  <si>
    <t>Strategic operating know-how; strong commercialization value, less likely open IP access</t>
  </si>
  <si>
    <t>Commercialization / scale-up / downstream processing</t>
  </si>
  <si>
    <t>Selective</t>
  </si>
  <si>
    <t>Low technical risk; medium fit/access risk</t>
  </si>
  <si>
    <t>Needs proof that PG-derived streams are economically meaningful</t>
  </si>
  <si>
    <r>
      <t>Could convert PG cleanup into a </t>
    </r>
    <r>
      <rPr>
        <b/>
        <sz val="11"/>
        <color rgb="FF000000"/>
        <rFont val="Calibri"/>
        <family val="2"/>
        <scheme val="minor"/>
      </rPr>
      <t>rare-earth resource opportunity</t>
    </r>
  </si>
  <si>
    <t>IREL home, OSCOM REEP, Aluva RED pages. </t>
  </si>
  <si>
    <t>Best engaged after proof of technical and economic viability</t>
  </si>
  <si>
    <t>Paradeep Phosphates Limited (PPL)</t>
  </si>
  <si>
    <t>Major Indian phosphatic fertilizer producer and generator of phosphogypsum from phosphoric acid operations.</t>
  </si>
  <si>
    <t>Paradeep, Odisha, India</t>
  </si>
  <si>
    <t>https://www.paradeepphosphates.com</t>
  </si>
  <si>
    <t>Fertilizer production, phosphoric acid operations, PG management</t>
  </si>
  <si>
    <t>Industrial PG generation, handling, quality management, and potential pilot-site access</t>
  </si>
  <si>
    <t>Extremely high</t>
  </si>
  <si>
    <t>PPL states its captive phosphogypsum received BIS accreditation and says it was the first fertilizer company in India to receive it; the company markets phosphogypsum products and is a leading phosphatic fertilizer producer. </t>
  </si>
  <si>
    <t>Main value is industrial feedstock, operating data, and site access rather than novel IP</t>
  </si>
  <si>
    <t>Pilot / demonstration / commercialization site</t>
  </si>
  <si>
    <t>Corporate priorities, EHS, and value case need to be clear</t>
  </si>
  <si>
    <r>
      <t>One of the best India anchors because it provides </t>
    </r>
    <r>
      <rPr>
        <b/>
        <sz val="11"/>
        <color rgb="FF000000"/>
        <rFont val="Calibri"/>
        <family val="2"/>
        <scheme val="minor"/>
      </rPr>
      <t>real PG under real process conditions</t>
    </r>
  </si>
  <si>
    <t>PPL BIS announcement, company site, products page. </t>
  </si>
  <si>
    <t>Must-engage industrial partner</t>
  </si>
  <si>
    <t>Coromandel International</t>
  </si>
  <si>
    <t>Major Indian agri-inputs and fertilizer company with phosphoric acid operations and public engagement around PG innovation.</t>
  </si>
  <si>
    <t>Hyderabad, Telangana, India; major phosphoric operations in Kakinada, Andhra Pradesh</t>
  </si>
  <si>
    <t>https://www.coromandel.biz</t>
  </si>
  <si>
    <t>Fertilizers, PG utilization, industrial by-product innovation</t>
  </si>
  <si>
    <t>PG generation plus external innovation calls and utilization pathways, especially building-material directions</t>
  </si>
  <si>
    <r>
      <t>Extremely high</t>
    </r>
    <r>
      <rPr>
        <sz val="11"/>
        <color rgb="FF000000"/>
        <rFont val="Calibri"/>
        <family val="2"/>
        <scheme val="minor"/>
      </rPr>
      <t> for PG reduction/utilization; medium for direct radiological cleanup</t>
    </r>
  </si>
  <si>
    <t>The PSA office states it facilitated a call for novel applications of phosphogypsum by Coromandel; Coromandel/Murugappa materials show ongoing phosphoric acid–sulphuric acid expansion at Kakinada. </t>
  </si>
  <si>
    <t>Likely stronger in industrial application partnerships than in proprietary radionuclide-removal IP</t>
  </si>
  <si>
    <t>Pilot / commercialization / industrial deployment</t>
  </si>
  <si>
    <t>High relative to peers</t>
  </si>
  <si>
    <t>May favor practical utilization over complex separation chemistry unless economics are strong</t>
  </si>
  <si>
    <t>One of the clearest Indian companies already inviting PG innovation</t>
  </si>
  <si>
    <t>PSA call; Coromandel-linked project materials. </t>
  </si>
  <si>
    <t>Strong corporate entry point if framed as stack reduction plus value use</t>
  </si>
  <si>
    <t>The Fertilisers and Chemicals Travancore Ltd. (FACT)</t>
  </si>
  <si>
    <t>Longstanding fertilizer producer with R&amp;D that explicitly includes utilization of waste materials like phosphogypsum.</t>
  </si>
  <si>
    <t>Kochi / Udyogamandal, Kerala, India</t>
  </si>
  <si>
    <t>https://fact.co.in</t>
  </si>
  <si>
    <t>Fertilizers, by-product valorization, applied utilization</t>
  </si>
  <si>
    <t>Waste utilization, agricultural gypsum productization, and PG use in cement/plaster pathways</t>
  </si>
  <si>
    <r>
      <t>High</t>
    </r>
    <r>
      <rPr>
        <sz val="11"/>
        <color rgb="FF000000"/>
        <rFont val="Calibri"/>
        <family val="2"/>
        <scheme val="minor"/>
      </rPr>
      <t> for applied utilization; lower for radionuclide-removal science</t>
    </r>
  </si>
  <si>
    <t>FACT states its R&amp;D includes utilization of waste materials like phosphogypsum; its product pages say FACT Gypsum is a by-product of phosphoric acid production and that bulk phosphogypsum is used in cement and plaster. </t>
  </si>
  <si>
    <t>Applied product and utilization know-how more important than frontier IP</t>
  </si>
  <si>
    <t>Pilot / commercialization</t>
  </si>
  <si>
    <t>More likely to pursue practical utilization than frontier radionuclide separation</t>
  </si>
  <si>
    <t>Good applied-validation or offtake partner for treated PG streams</t>
  </si>
  <si>
    <t>FACT about, R&amp;D, and gypsum pages. </t>
  </si>
  <si>
    <t>Better downstream than upstream science lead</t>
  </si>
  <si>
    <t>UltraTech Cement</t>
  </si>
  <si>
    <t>India’s largest cement producer with active use of waste-derived mineral inputs under its circular-economy strategy.</t>
  </si>
  <si>
    <t>https://www.ultratechcement.com</t>
  </si>
  <si>
    <t>Cement manufacturing, circular materials integration</t>
  </si>
  <si>
    <t>Large-scale offtake and use of phosphogypsum in cement manufacturing</t>
  </si>
  <si>
    <r>
      <t>High</t>
    </r>
    <r>
      <rPr>
        <sz val="11"/>
        <color rgb="FF000000"/>
        <rFont val="Calibri"/>
        <family val="2"/>
        <scheme val="minor"/>
      </rPr>
      <t> as downstream offtaker; low for decontamination science</t>
    </r>
  </si>
  <si>
    <t>UltraTech states PG from fertilizer industries in Odisha is used at its Gujarat cement unit and highlights transport of 57,000 MT of phosphogypsum by waterways; its sustainability materials emphasize circular use of waste materials. </t>
  </si>
  <si>
    <t>Not a core IP holder for cleanup, but highly important for end-use validation</t>
  </si>
  <si>
    <t>Commercialization / offtake / scale adoption</t>
  </si>
  <si>
    <t>Medium-high if specs and economics work</t>
  </si>
  <si>
    <t>Needs treated PG to meet industrial and regulatory specs</t>
  </si>
  <si>
    <t>Critical if the project needs a credible destination for cleaned gypsum</t>
  </si>
  <si>
    <t>UltraTech PG transport story, press release, circular economy, sustainability report. </t>
  </si>
  <si>
    <t>Important circularity partner</t>
  </si>
  <si>
    <t>Gujarat State Fertilizers &amp; Chemicals (GSFC)</t>
  </si>
  <si>
    <t>Large fertilizer and chemicals company with phosphoric acid operations and commercial phosphogypsum output.</t>
  </si>
  <si>
    <t>Vadodara, Gujarat, India</t>
  </si>
  <si>
    <t>https://www.gsfclimited.com</t>
  </si>
  <si>
    <t>Fertilizers, phosphoric acid, by-product utilization</t>
  </si>
  <si>
    <t>Phosphogypsum generation and use in ammonium sulphate process; sale for agricultural applications</t>
  </si>
  <si>
    <t>GSFC states gypsum is a by-product from its phosphoric acid plant and says it developed and implemented a phospho-gypsum process for ammonium sulphate manufacturing; Vadodara unit details its phosphoric acid plant. </t>
  </si>
  <si>
    <t>Value lies in feedstock and utilization experience, not advanced PG-remediation IP</t>
  </si>
  <si>
    <t>Pilot / commercialization site</t>
  </si>
  <si>
    <t>Less visible than PPL or Coromandel in open-innovation PG programs</t>
  </si>
  <si>
    <t>Useful secondary industrial partner and benchmark for utilization pathways</t>
  </si>
  <si>
    <t>GSFC gypsum, Vadodara unit, company site. </t>
  </si>
  <si>
    <t>Good second-wave target</t>
  </si>
  <si>
    <t>Attero Recycling</t>
  </si>
  <si>
    <t>Indian recycler focused on e-waste and lithium-ion batteries, with positioning around critical-mineral recovery and high-purity outputs.</t>
  </si>
  <si>
    <t>Noida, Uttar Pradesh, India</t>
  </si>
  <si>
    <t>https://www.attero.in</t>
  </si>
  <si>
    <t>Recycling, critical metals recovery</t>
  </si>
  <si>
    <t>Urban mining and high-purity recovery processes for end-of-life electronics and batteries</t>
  </si>
  <si>
    <r>
      <t>Medium-low</t>
    </r>
    <r>
      <rPr>
        <sz val="11"/>
        <color rgb="FF000000"/>
        <rFont val="Calibri"/>
        <family val="2"/>
        <scheme val="minor"/>
      </rPr>
      <t>, indirect relevance</t>
    </r>
  </si>
  <si>
    <t>Attero describes itself as India’s leading e-waste and Li-ion battery recycler; its materials highlight critical-minerals recovery, high purity, and rare earth extraction from end-of-life products. </t>
  </si>
  <si>
    <t>Private process know-how likely strong, but PG applicability is unproven</t>
  </si>
  <si>
    <t>Commercialization / adjacent tech transfer</t>
  </si>
  <si>
    <t>Feedstock mismatch; PG chemistry and radiological residues are very different from e-waste/batteries</t>
  </si>
  <si>
    <t>Possible future refining/commercialization partner if PG yields a tradable critical-mineral stream</t>
  </si>
  <si>
    <t>Attero site and critical-minerals materials. </t>
  </si>
  <si>
    <t>Opportunity-list actor, not first wave</t>
  </si>
  <si>
    <t>LOHUM</t>
  </si>
  <si>
    <t>Indian critical-materials and advanced-materials platform focused on sustainable refining and resilient supply chains.</t>
  </si>
  <si>
    <t>Greater Noida / Delhi NCR, India</t>
  </si>
  <si>
    <t>https://lohum.com</t>
  </si>
  <si>
    <t>Critical materials, advanced materials, refining</t>
  </si>
  <si>
    <t>Sustainable refining and critical-materials platform with emphasis on urban mining and advanced materials</t>
  </si>
  <si>
    <t>LOHUM states it is India’s largest producer of sustainable critical minerals and advanced materials; its critical-materials page includes REE magnets and other materials. </t>
  </si>
  <si>
    <t>Private IP and commercial refining capability may matter later if PG-derived streams become viable</t>
  </si>
  <si>
    <t>Commercialization / adjacent downstream partner</t>
  </si>
  <si>
    <t>No clear public PG track record</t>
  </si>
  <si>
    <t>Useful only if project reaches the stage of producing marketable critical-material intermediates</t>
  </si>
  <si>
    <t>LOHUM home and critical-materials pages. </t>
  </si>
  <si>
    <t>Keep on watch list</t>
  </si>
  <si>
    <t>Atomic Minerals Directorate for Exploration &amp; Research (AMD)</t>
  </si>
  <si>
    <t>Department of Atomic Energy organization responsible for atomic minerals exploration and related research infrastructure.</t>
  </si>
  <si>
    <t>https://amd.gov.in</t>
  </si>
  <si>
    <t>Uranium/thorium exploration, geochemistry, mineral characterization</t>
  </si>
  <si>
    <t>Detection, mapping, and characterization of atomic minerals and associated geochemistry</t>
  </si>
  <si>
    <r>
      <t>Medium</t>
    </r>
    <r>
      <rPr>
        <sz val="11"/>
        <color rgb="FF000000"/>
        <rFont val="Calibri"/>
        <family val="2"/>
        <scheme val="minor"/>
      </rPr>
      <t> for radionuclide characterization support; lower for PG process development</t>
    </r>
  </si>
  <si>
    <t>AMD’s site identifies it as a DAE organization with headquarters in Hyderabad and regional exploration/research infrastructure. </t>
  </si>
  <si>
    <t>Scientific and analytical capability more relevant than commercial IP</t>
  </si>
  <si>
    <t>Discovery / validation support</t>
  </si>
  <si>
    <t>Less obviously structured for applied PG process development than BARC</t>
  </si>
  <si>
    <t>Could support radionuclide characterization and geochemical understanding</t>
  </si>
  <si>
    <t>AMD official pages. </t>
  </si>
  <si>
    <t>Secondary radiological/government support 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</si>
</sst>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2"/>
      <color theme="1"/>
      <name val="Calibri"/>
      <family val="2"/>
      <scheme val="minor"/>
    </font>
    <font>
      <sz val="11"/>
      <color theme="1"/>
      <name val="Calibri"/>
      <family val="2"/>
      <scheme val="minor"/>
    </font>
    <font>
      <sz val="11"/>
      <color theme="1"/>
      <name val="GilmerMedium"/>
    </font>
    <font>
      <b/>
      <sz val="16"/>
      <name val="GilmerMedium"/>
    </font>
    <font>
      <b/>
      <sz val="12"/>
      <name val="GilmerRegular"/>
    </font>
    <font>
      <sz val="12"/>
      <color theme="1"/>
      <name val="GilmerRegular"/>
    </font>
    <font>
      <u/>
      <sz val="11"/>
      <color theme="10"/>
      <name val="Calibri"/>
      <family val="2"/>
      <scheme val="minor"/>
    </font>
    <font>
      <b/>
      <sz val="20"/>
      <name val="Calibri"/>
      <family val="2"/>
      <scheme val="minor"/>
    </font>
    <font>
      <sz val="20"/>
      <color theme="1"/>
      <name val="Calibri"/>
      <family val="2"/>
      <scheme val="minor"/>
    </font>
    <font>
      <b/>
      <sz val="14"/>
      <color theme="1"/>
      <name val="Calibri"/>
      <family val="2"/>
      <scheme val="minor"/>
    </font>
    <font>
      <sz val="12"/>
      <color theme="1"/>
      <name val="Calibri"/>
      <family val="2"/>
      <scheme val="minor"/>
    </font>
    <font>
      <sz val="12"/>
      <color rgb="FF242424"/>
      <name val="Calibri"/>
      <family val="2"/>
      <scheme val="minor"/>
    </font>
    <font>
      <u/>
      <sz val="11"/>
      <color theme="10"/>
      <name val="Calibri"/>
      <family val="2"/>
      <scheme val="minor"/>
    </font>
    <font>
      <u/>
      <sz val="12"/>
      <color theme="10"/>
      <name val="Calibri"/>
      <family val="2"/>
      <scheme val="minor"/>
    </font>
    <font>
      <b/>
      <sz val="12"/>
      <color theme="1"/>
      <name val="Calibri"/>
      <family val="2"/>
      <scheme val="minor"/>
    </font>
    <font>
      <sz val="12"/>
      <color rgb="FF000000"/>
      <name val="Calibri"/>
      <family val="2"/>
      <scheme val="minor"/>
    </font>
    <font>
      <b/>
      <sz val="14"/>
      <color rgb="FF242424"/>
      <name val="Calibri"/>
      <family val="2"/>
      <scheme val="minor"/>
    </font>
    <font>
      <b/>
      <sz val="12"/>
      <color rgb="FF000000"/>
      <name val="Calibri"/>
      <family val="2"/>
      <scheme val="minor"/>
    </font>
    <font>
      <sz val="11"/>
      <color rgb="FF000000"/>
      <name val="Calibri"/>
      <family val="2"/>
      <scheme val="minor"/>
    </font>
    <font>
      <b/>
      <sz val="18"/>
      <color theme="1"/>
      <name val="Calibri"/>
      <family val="2"/>
      <scheme val="minor"/>
    </font>
    <font>
      <b/>
      <sz val="11"/>
      <color rgb="FF000000"/>
      <name val="Calibri"/>
      <family val="2"/>
      <scheme val="minor"/>
    </font>
  </fonts>
  <fills count="9">
    <fill>
      <patternFill patternType="none"/>
    </fill>
    <fill>
      <patternFill patternType="gray125"/>
    </fill>
    <fill>
      <patternFill patternType="solid">
        <fgColor theme="8"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51">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6" fillId="0" borderId="0" xfId="0" applyFont="1" applyAlignment="1">
      <alignment wrapText="1"/>
    </xf>
    <xf numFmtId="0" fontId="8" fillId="3" borderId="0" xfId="0" applyFont="1" applyFill="1" applyAlignment="1">
      <alignment vertical="top" wrapText="1"/>
    </xf>
    <xf numFmtId="0" fontId="8" fillId="3" borderId="0" xfId="0" applyFont="1" applyFill="1" applyAlignment="1">
      <alignment horizontal="center" vertical="top" wrapText="1"/>
    </xf>
    <xf numFmtId="0" fontId="9" fillId="3" borderId="0" xfId="0" applyFont="1" applyFill="1" applyAlignment="1">
      <alignment vertical="top" wrapText="1"/>
    </xf>
    <xf numFmtId="0" fontId="9" fillId="3" borderId="0" xfId="0" applyFont="1" applyFill="1"/>
    <xf numFmtId="0" fontId="10" fillId="2" borderId="0" xfId="0" applyFont="1" applyFill="1" applyAlignment="1">
      <alignment vertical="top" wrapText="1"/>
    </xf>
    <xf numFmtId="0" fontId="11" fillId="0" borderId="0" xfId="0" applyFont="1" applyAlignment="1">
      <alignment vertical="top" wrapText="1"/>
    </xf>
    <xf numFmtId="0" fontId="2" fillId="0" borderId="0" xfId="0" applyFont="1"/>
    <xf numFmtId="0" fontId="12" fillId="0" borderId="0" xfId="0" applyFont="1" applyAlignment="1">
      <alignment vertical="top" wrapText="1"/>
    </xf>
    <xf numFmtId="0" fontId="13" fillId="0" borderId="0" xfId="1" applyFont="1" applyFill="1" applyAlignment="1">
      <alignment vertical="top" wrapText="1"/>
    </xf>
    <xf numFmtId="0" fontId="14" fillId="0" borderId="0" xfId="1" applyFont="1" applyAlignment="1">
      <alignment vertical="top" wrapText="1"/>
    </xf>
    <xf numFmtId="0" fontId="16" fillId="0" borderId="0" xfId="0" applyFont="1" applyAlignment="1">
      <alignment vertical="top" wrapText="1"/>
    </xf>
    <xf numFmtId="0" fontId="12" fillId="0" borderId="0" xfId="0" applyFont="1" applyAlignment="1">
      <alignment horizontal="left" vertical="top" wrapText="1"/>
    </xf>
    <xf numFmtId="0" fontId="11" fillId="0" borderId="0" xfId="0" applyFont="1" applyAlignment="1">
      <alignment horizontal="left" vertical="top" wrapText="1"/>
    </xf>
    <xf numFmtId="0" fontId="13" fillId="0" borderId="0" xfId="1" applyFont="1" applyAlignment="1">
      <alignment vertical="top" wrapText="1"/>
    </xf>
    <xf numFmtId="0" fontId="14" fillId="0" borderId="0" xfId="1" applyFont="1" applyFill="1" applyAlignment="1">
      <alignment vertical="top" wrapText="1"/>
    </xf>
    <xf numFmtId="0" fontId="17" fillId="3" borderId="0" xfId="0" applyFont="1" applyFill="1" applyAlignment="1">
      <alignment vertical="top" wrapText="1"/>
    </xf>
    <xf numFmtId="0" fontId="11" fillId="0" borderId="0" xfId="0" applyFont="1"/>
    <xf numFmtId="0" fontId="11" fillId="0" borderId="0" xfId="0" applyFont="1" applyAlignment="1">
      <alignment vertical="top"/>
    </xf>
    <xf numFmtId="0" fontId="14" fillId="0" borderId="0" xfId="1" applyFont="1" applyAlignment="1">
      <alignment vertical="top"/>
    </xf>
    <xf numFmtId="0" fontId="15" fillId="0" borderId="0" xfId="0" applyFont="1" applyAlignment="1">
      <alignment vertical="top" wrapText="1"/>
    </xf>
    <xf numFmtId="0" fontId="15" fillId="0" borderId="0" xfId="0" applyFont="1" applyAlignment="1">
      <alignment horizontal="left" vertical="top" wrapText="1"/>
    </xf>
    <xf numFmtId="0" fontId="2" fillId="0" borderId="0" xfId="0" applyFont="1" applyAlignment="1">
      <alignment vertical="top"/>
    </xf>
    <xf numFmtId="0" fontId="10" fillId="4" borderId="0" xfId="0" applyFont="1" applyFill="1" applyAlignment="1">
      <alignment vertical="top" wrapText="1"/>
    </xf>
    <xf numFmtId="0" fontId="11" fillId="0" borderId="0" xfId="0" applyFont="1" applyAlignment="1">
      <alignment wrapText="1"/>
    </xf>
    <xf numFmtId="0" fontId="13" fillId="0" borderId="0" xfId="1" applyFont="1" applyAlignment="1">
      <alignment horizontal="left" vertical="top"/>
    </xf>
    <xf numFmtId="0" fontId="18" fillId="0" borderId="0" xfId="0" applyFont="1" applyAlignment="1">
      <alignment vertical="top" wrapText="1"/>
    </xf>
    <xf numFmtId="0" fontId="14" fillId="0" borderId="0" xfId="1" applyFont="1" applyAlignment="1">
      <alignment horizontal="left" vertical="top" wrapText="1"/>
    </xf>
    <xf numFmtId="0" fontId="10" fillId="5" borderId="0" xfId="0" applyFont="1" applyFill="1" applyAlignment="1">
      <alignment vertical="top" wrapText="1"/>
    </xf>
    <xf numFmtId="0" fontId="14" fillId="0" borderId="0" xfId="1" applyFont="1" applyFill="1" applyAlignment="1">
      <alignment horizontal="left" vertical="top" wrapText="1"/>
    </xf>
    <xf numFmtId="0" fontId="10" fillId="6" borderId="0" xfId="0" applyFont="1" applyFill="1" applyAlignment="1">
      <alignment vertical="top" wrapText="1"/>
    </xf>
    <xf numFmtId="0" fontId="13" fillId="0" borderId="0" xfId="1" applyFont="1" applyFill="1" applyAlignment="1">
      <alignment horizontal="left" vertical="top" wrapText="1"/>
    </xf>
    <xf numFmtId="0" fontId="16" fillId="0" borderId="0" xfId="0" applyFont="1" applyAlignment="1">
      <alignment wrapText="1"/>
    </xf>
    <xf numFmtId="0" fontId="10" fillId="3" borderId="0" xfId="0" applyFont="1" applyFill="1" applyAlignment="1">
      <alignment vertical="top"/>
    </xf>
    <xf numFmtId="0" fontId="13" fillId="0" borderId="0" xfId="1" applyFont="1" applyAlignment="1">
      <alignment vertical="top"/>
    </xf>
    <xf numFmtId="0" fontId="2" fillId="0" borderId="0" xfId="0" applyFont="1" applyAlignment="1">
      <alignment vertical="top" wrapText="1"/>
    </xf>
    <xf numFmtId="0" fontId="13" fillId="0" borderId="0" xfId="1" applyFont="1" applyAlignment="1">
      <alignment horizontal="left" vertical="top" wrapText="1"/>
    </xf>
    <xf numFmtId="0" fontId="2" fillId="0" borderId="0" xfId="0" applyFont="1" applyAlignment="1">
      <alignment wrapText="1"/>
    </xf>
    <xf numFmtId="0" fontId="10" fillId="7" borderId="0" xfId="0" applyFont="1" applyFill="1" applyAlignment="1">
      <alignment vertical="top"/>
    </xf>
    <xf numFmtId="0" fontId="15" fillId="0" borderId="0" xfId="0" applyFont="1"/>
    <xf numFmtId="0" fontId="10" fillId="8" borderId="0" xfId="0" applyFont="1" applyFill="1" applyAlignment="1">
      <alignment vertical="top"/>
    </xf>
    <xf numFmtId="0" fontId="20" fillId="5" borderId="0" xfId="0" applyFont="1" applyFill="1" applyAlignment="1">
      <alignment vertical="center"/>
    </xf>
    <xf numFmtId="0" fontId="2" fillId="5" borderId="0" xfId="0" applyFont="1" applyFill="1"/>
    <xf numFmtId="0" fontId="19" fillId="0" borderId="0" xfId="0" applyFont="1" applyAlignment="1">
      <alignment vertical="top" wrapText="1"/>
    </xf>
    <xf numFmtId="0" fontId="21" fillId="0" borderId="0" xfId="0" applyFont="1" applyAlignment="1">
      <alignment vertical="top" wrapText="1"/>
    </xf>
    <xf numFmtId="0" fontId="8" fillId="3" borderId="0" xfId="0" applyFont="1" applyFill="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6" Type="http://schemas.openxmlformats.org/officeDocument/2006/relationships/hyperlink" Target="https://www.allonnia.com/" TargetMode="External"/><Relationship Id="rId21" Type="http://schemas.openxmlformats.org/officeDocument/2006/relationships/hyperlink" Target="https://coe.gatech.edu/research" TargetMode="External"/><Relationship Id="rId42" Type="http://schemas.openxmlformats.org/officeDocument/2006/relationships/hyperlink" Target="https://www.lbl.gov/" TargetMode="External"/><Relationship Id="rId47" Type="http://schemas.openxmlformats.org/officeDocument/2006/relationships/hyperlink" Target="https://www.ornl.gov/file/ised-facility-overview-redc/display" TargetMode="External"/><Relationship Id="rId63" Type="http://schemas.openxmlformats.org/officeDocument/2006/relationships/hyperlink" Target="https://neolithe.com/" TargetMode="External"/><Relationship Id="rId68" Type="http://schemas.openxmlformats.org/officeDocument/2006/relationships/hyperlink" Target="https://anactisis.com/" TargetMode="External"/><Relationship Id="rId84" Type="http://schemas.openxmlformats.org/officeDocument/2006/relationships/hyperlink" Target="https://www.gov.br/cnen/en" TargetMode="External"/><Relationship Id="rId89" Type="http://schemas.openxmlformats.org/officeDocument/2006/relationships/hyperlink" Target="https://www.gov.br/ipen/pt-br/" TargetMode="External"/><Relationship Id="rId16" Type="http://schemas.openxmlformats.org/officeDocument/2006/relationships/hyperlink" Target="https://www.disausa.com/" TargetMode="External"/><Relationship Id="rId107" Type="http://schemas.openxmlformats.org/officeDocument/2006/relationships/hyperlink" Target="https://www.gsfclimited.com/?utm_source=chatgpt.com" TargetMode="External"/><Relationship Id="rId11" Type="http://schemas.openxmlformats.org/officeDocument/2006/relationships/hyperlink" Target="https://www.srnl.gov/" TargetMode="External"/><Relationship Id="rId32" Type="http://schemas.openxmlformats.org/officeDocument/2006/relationships/hyperlink" Target="https://www.columbia.edu/" TargetMode="External"/><Relationship Id="rId37" Type="http://schemas.openxmlformats.org/officeDocument/2006/relationships/hyperlink" Target="https://www.purdue.edu/" TargetMode="External"/><Relationship Id="rId53" Type="http://schemas.openxmlformats.org/officeDocument/2006/relationships/hyperlink" Target="https://www.udel.edu/" TargetMode="External"/><Relationship Id="rId58" Type="http://schemas.openxmlformats.org/officeDocument/2006/relationships/hyperlink" Target="https://www.nmt.edu/" TargetMode="External"/><Relationship Id="rId74" Type="http://schemas.openxmlformats.org/officeDocument/2006/relationships/hyperlink" Target="https://www.nationalacademies.org/" TargetMode="External"/><Relationship Id="rId79" Type="http://schemas.openxmlformats.org/officeDocument/2006/relationships/hyperlink" Target="https://www.travertinetech.com/" TargetMode="External"/><Relationship Id="rId102" Type="http://schemas.openxmlformats.org/officeDocument/2006/relationships/hyperlink" Target="https://www.irel.co.in/?utm_source=chatgpt.com" TargetMode="External"/><Relationship Id="rId5" Type="http://schemas.openxmlformats.org/officeDocument/2006/relationships/hyperlink" Target="https://neup.inl.gov/rd/neup-projects" TargetMode="External"/><Relationship Id="rId90" Type="http://schemas.openxmlformats.org/officeDocument/2006/relationships/hyperlink" Target="https://cetem.gov.br/" TargetMode="External"/><Relationship Id="rId95" Type="http://schemas.openxmlformats.org/officeDocument/2006/relationships/hyperlink" Target="https://www.rainbowrareearths.com/project/uberaba/" TargetMode="External"/><Relationship Id="rId22" Type="http://schemas.openxmlformats.org/officeDocument/2006/relationships/hyperlink" Target="https://www.duke.edu/" TargetMode="External"/><Relationship Id="rId27" Type="http://schemas.openxmlformats.org/officeDocument/2006/relationships/hyperlink" Target="https://engineering.tamu.edu/nuclear" TargetMode="External"/><Relationship Id="rId43" Type="http://schemas.openxmlformats.org/officeDocument/2006/relationships/hyperlink" Target="https://www.energy.gov/science/office-science-laboratories" TargetMode="External"/><Relationship Id="rId48" Type="http://schemas.openxmlformats.org/officeDocument/2006/relationships/hyperlink" Target="https://www.netl.doe.gov/" TargetMode="External"/><Relationship Id="rId64" Type="http://schemas.openxmlformats.org/officeDocument/2006/relationships/hyperlink" Target="https://www.arca.climate/" TargetMode="External"/><Relationship Id="rId69" Type="http://schemas.openxmlformats.org/officeDocument/2006/relationships/hyperlink" Target="https://rmi.org/texas-gulf-coast-clean-industrial-hub/" TargetMode="External"/><Relationship Id="rId80" Type="http://schemas.openxmlformats.org/officeDocument/2006/relationships/hyperlink" Target="https://www.veolianorthamerica.com/" TargetMode="External"/><Relationship Id="rId85" Type="http://schemas.openxmlformats.org/officeDocument/2006/relationships/hyperlink" Target="https://www.osti.gov/biblio/2255190%20+%203D%20Printing%20Lab%20+%20Makerspace%20Lab%20+%20SIM%20Lab%20+%20Securtity%20Operations%20Center%20(SOC)" TargetMode="External"/><Relationship Id="rId12" Type="http://schemas.openxmlformats.org/officeDocument/2006/relationships/hyperlink" Target="https://www.che.psu.edu/" TargetMode="External"/><Relationship Id="rId17" Type="http://schemas.openxmlformats.org/officeDocument/2006/relationships/hyperlink" Target="https://mosaicfloridaphosphate.com/" TargetMode="External"/><Relationship Id="rId33" Type="http://schemas.openxmlformats.org/officeDocument/2006/relationships/hyperlink" Target="https://wsu.edu/" TargetMode="External"/><Relationship Id="rId38" Type="http://schemas.openxmlformats.org/officeDocument/2006/relationships/hyperlink" Target="https://engineering.purdue.edu/AB" TargetMode="External"/><Relationship Id="rId59" Type="http://schemas.openxmlformats.org/officeDocument/2006/relationships/hyperlink" Target="https://www.usgs.gov/" TargetMode="External"/><Relationship Id="rId103" Type="http://schemas.openxmlformats.org/officeDocument/2006/relationships/hyperlink" Target="https://www.paradeepphosphates.com/?utm_source=chatgpt.com" TargetMode="External"/><Relationship Id="rId108" Type="http://schemas.openxmlformats.org/officeDocument/2006/relationships/hyperlink" Target="https://www.attero.in/?utm_source=chatgpt.com" TargetMode="External"/><Relationship Id="rId54" Type="http://schemas.openxmlformats.org/officeDocument/2006/relationships/hyperlink" Target="https://twin-cities.umn.edu/" TargetMode="External"/><Relationship Id="rId70" Type="http://schemas.openxmlformats.org/officeDocument/2006/relationships/hyperlink" Target="https://www.epri.com/" TargetMode="External"/><Relationship Id="rId75" Type="http://schemas.openxmlformats.org/officeDocument/2006/relationships/hyperlink" Target="https://patents.google.com/?q=(spearstone+solutions)&amp;oq=spearstone+solutions" TargetMode="External"/><Relationship Id="rId91" Type="http://schemas.openxmlformats.org/officeDocument/2006/relationships/hyperlink" Target="https://www5.usp.br/" TargetMode="External"/><Relationship Id="rId96" Type="http://schemas.openxmlformats.org/officeDocument/2006/relationships/hyperlink" Target="https://www.barc.gov.in/?utm_source=chatgpt.com" TargetMode="External"/><Relationship Id="rId1" Type="http://schemas.openxmlformats.org/officeDocument/2006/relationships/hyperlink" Target="https://phoenixtailings.com/" TargetMode="External"/><Relationship Id="rId6" Type="http://schemas.openxmlformats.org/officeDocument/2006/relationships/hyperlink" Target="https://apm.byu.edu/prism/index.php/Projects/VitrificationNuclearWaste?utm_source=chatgpt.com" TargetMode="External"/><Relationship Id="rId15" Type="http://schemas.openxmlformats.org/officeDocument/2006/relationships/hyperlink" Target="https://www.deepisolation.com/" TargetMode="External"/><Relationship Id="rId23" Type="http://schemas.openxmlformats.org/officeDocument/2006/relationships/hyperlink" Target="https://www.berkeley.edu/" TargetMode="External"/><Relationship Id="rId28" Type="http://schemas.openxmlformats.org/officeDocument/2006/relationships/hyperlink" Target="https://www.princeton.edu/" TargetMode="External"/><Relationship Id="rId36" Type="http://schemas.openxmlformats.org/officeDocument/2006/relationships/hyperlink" Target="https://oregonstate.edu/" TargetMode="External"/><Relationship Id="rId49" Type="http://schemas.openxmlformats.org/officeDocument/2006/relationships/hyperlink" Target="https://www.unm.edu/" TargetMode="External"/><Relationship Id="rId57" Type="http://schemas.openxmlformats.org/officeDocument/2006/relationships/hyperlink" Target="https://www.arizona.edu/" TargetMode="External"/><Relationship Id="rId106" Type="http://schemas.openxmlformats.org/officeDocument/2006/relationships/hyperlink" Target="https://www.ultratechcement.com/" TargetMode="External"/><Relationship Id="rId10" Type="http://schemas.openxmlformats.org/officeDocument/2006/relationships/hyperlink" Target="https://floridapoly.edu/research/institutes/fipr/" TargetMode="External"/><Relationship Id="rId31" Type="http://schemas.openxmlformats.org/officeDocument/2006/relationships/hyperlink" Target="https://chatgpt.com/g/g-p-697ce4b68d008191aeb9ed209d5a02e0-um6p-us-ecosystem-mapping-nutricrops/c/6982224a-78fc-832a-8470-2b380fb03588" TargetMode="External"/><Relationship Id="rId44" Type="http://schemas.openxmlformats.org/officeDocument/2006/relationships/hyperlink" Target="https://www.sandia.gov/" TargetMode="External"/><Relationship Id="rId52" Type="http://schemas.openxmlformats.org/officeDocument/2006/relationships/hyperlink" Target="https://www.unr.edu/" TargetMode="External"/><Relationship Id="rId60" Type="http://schemas.openxmlformats.org/officeDocument/2006/relationships/hyperlink" Target="https://www.deepisolation.com/" TargetMode="External"/><Relationship Id="rId65" Type="http://schemas.openxmlformats.org/officeDocument/2006/relationships/hyperlink" Target="https://forgeminerals.com/" TargetMode="External"/><Relationship Id="rId73" Type="http://schemas.openxmlformats.org/officeDocument/2006/relationships/hyperlink" Target="https://www.epa.gov/radiation" TargetMode="External"/><Relationship Id="rId78" Type="http://schemas.openxmlformats.org/officeDocument/2006/relationships/hyperlink" Target="https://www.llnl.gov/" TargetMode="External"/><Relationship Id="rId81" Type="http://schemas.openxmlformats.org/officeDocument/2006/relationships/hyperlink" Target="https://www.arianne-inc.com/" TargetMode="External"/><Relationship Id="rId86" Type="http://schemas.openxmlformats.org/officeDocument/2006/relationships/hyperlink" Target="https://www.gov.br/ird/en" TargetMode="External"/><Relationship Id="rId94" Type="http://schemas.openxmlformats.org/officeDocument/2006/relationships/hyperlink" Target="https://mosaicco.com.br/" TargetMode="External"/><Relationship Id="rId99" Type="http://schemas.openxmlformats.org/officeDocument/2006/relationships/hyperlink" Target="https://www.nmlindia.org/" TargetMode="External"/><Relationship Id="rId101" Type="http://schemas.openxmlformats.org/officeDocument/2006/relationships/hyperlink" Target="https://www.iith.ac.in/" TargetMode="External"/><Relationship Id="rId4" Type="http://schemas.openxmlformats.org/officeDocument/2006/relationships/hyperlink" Target="https://nuclear.mines.edu/research/?utm_source=chatgpt.com" TargetMode="External"/><Relationship Id="rId9" Type="http://schemas.openxmlformats.org/officeDocument/2006/relationships/hyperlink" Target="https://www.c2m.psu.edu/" TargetMode="External"/><Relationship Id="rId13" Type="http://schemas.openxmlformats.org/officeDocument/2006/relationships/hyperlink" Target="https://www.cleanharbors.com/" TargetMode="External"/><Relationship Id="rId18" Type="http://schemas.openxmlformats.org/officeDocument/2006/relationships/hyperlink" Target="https://www.ornl.gov/group/chemical-separations" TargetMode="External"/><Relationship Id="rId39" Type="http://schemas.openxmlformats.org/officeDocument/2006/relationships/hyperlink" Target="https://www.uci.edu/" TargetMode="External"/><Relationship Id="rId109" Type="http://schemas.openxmlformats.org/officeDocument/2006/relationships/hyperlink" Target="https://lohum.com/?utm_source=chatgpt.com" TargetMode="External"/><Relationship Id="rId34" Type="http://schemas.openxmlformats.org/officeDocument/2006/relationships/hyperlink" Target="https://www.k-state.edu/" TargetMode="External"/><Relationship Id="rId50" Type="http://schemas.openxmlformats.org/officeDocument/2006/relationships/hyperlink" Target="https://www.uwyo.edu/" TargetMode="External"/><Relationship Id="rId55" Type="http://schemas.openxmlformats.org/officeDocument/2006/relationships/hyperlink" Target="https://www.lanl.gov/" TargetMode="External"/><Relationship Id="rId76" Type="http://schemas.openxmlformats.org/officeDocument/2006/relationships/hyperlink" Target="https://www.xylem.com/en-us/brand/evoqua/" TargetMode="External"/><Relationship Id="rId97" Type="http://schemas.openxmlformats.org/officeDocument/2006/relationships/hyperlink" Target="https://www.chem.iitb.ac.in/coe-cmmm/?utm_source=chatgpt.com" TargetMode="External"/><Relationship Id="rId104" Type="http://schemas.openxmlformats.org/officeDocument/2006/relationships/hyperlink" Target="https://www.coromandel.biz/?utm_source=chatgpt.com" TargetMode="External"/><Relationship Id="rId7" Type="http://schemas.openxmlformats.org/officeDocument/2006/relationships/hyperlink" Target="https://www.eoas.fsu.edu/" TargetMode="External"/><Relationship Id="rId71" Type="http://schemas.openxmlformats.org/officeDocument/2006/relationships/hyperlink" Target="https://www.epri.com/" TargetMode="External"/><Relationship Id="rId92" Type="http://schemas.openxmlformats.org/officeDocument/2006/relationships/hyperlink" Target="https://www.ufmg.br/" TargetMode="External"/><Relationship Id="rId2" Type="http://schemas.openxmlformats.org/officeDocument/2006/relationships/hyperlink" Target="https://www.clemson.edu/centers-institutes/neesrwm/" TargetMode="External"/><Relationship Id="rId29" Type="http://schemas.openxmlformats.org/officeDocument/2006/relationships/hyperlink" Target="https://www.ncsu.edu/" TargetMode="External"/><Relationship Id="rId24" Type="http://schemas.openxmlformats.org/officeDocument/2006/relationships/hyperlink" Target="https://nse.mit.edu/" TargetMode="External"/><Relationship Id="rId40" Type="http://schemas.openxmlformats.org/officeDocument/2006/relationships/hyperlink" Target="https://www.pnnl.gov/" TargetMode="External"/><Relationship Id="rId45" Type="http://schemas.openxmlformats.org/officeDocument/2006/relationships/hyperlink" Target="https://www.energy.gov/nnsa/national-nuclear-security-administration" TargetMode="External"/><Relationship Id="rId66" Type="http://schemas.openxmlformats.org/officeDocument/2006/relationships/hyperlink" Target="https://carbontostone.com/" TargetMode="External"/><Relationship Id="rId87" Type="http://schemas.openxmlformats.org/officeDocument/2006/relationships/hyperlink" Target="https://www.gov.br/crcnne/en" TargetMode="External"/><Relationship Id="rId110" Type="http://schemas.openxmlformats.org/officeDocument/2006/relationships/hyperlink" Target="https://amd.gov.in/" TargetMode="External"/><Relationship Id="rId61" Type="http://schemas.openxmlformats.org/officeDocument/2006/relationships/hyperlink" Target="https://www.tikalindustries.com/" TargetMode="External"/><Relationship Id="rId82" Type="http://schemas.openxmlformats.org/officeDocument/2006/relationships/hyperlink" Target="https://mint.ua.edu/" TargetMode="External"/><Relationship Id="rId19" Type="http://schemas.openxmlformats.org/officeDocument/2006/relationships/hyperlink" Target="https://www.ameslab.gov/" TargetMode="External"/><Relationship Id="rId14" Type="http://schemas.openxmlformats.org/officeDocument/2006/relationships/hyperlink" Target="https://www.valor118.com/" TargetMode="External"/><Relationship Id="rId30" Type="http://schemas.openxmlformats.org/officeDocument/2006/relationships/hyperlink" Target="https://www.umich.edu/" TargetMode="External"/><Relationship Id="rId35" Type="http://schemas.openxmlformats.org/officeDocument/2006/relationships/hyperlink" Target="https://inl.gov/integrated-energy/" TargetMode="External"/><Relationship Id="rId56" Type="http://schemas.openxmlformats.org/officeDocument/2006/relationships/hyperlink" Target="https://www.perma-fix.com/" TargetMode="External"/><Relationship Id="rId77" Type="http://schemas.openxmlformats.org/officeDocument/2006/relationships/hyperlink" Target="https://reelementtech.com/" TargetMode="External"/><Relationship Id="rId100" Type="http://schemas.openxmlformats.org/officeDocument/2006/relationships/hyperlink" Target="https://www.nftdc.res.in/?utm_source=chatgpt.com" TargetMode="External"/><Relationship Id="rId105" Type="http://schemas.openxmlformats.org/officeDocument/2006/relationships/hyperlink" Target="https://fact.co.in/?utm_source=chatgpt.com" TargetMode="External"/><Relationship Id="rId8" Type="http://schemas.openxmlformats.org/officeDocument/2006/relationships/hyperlink" Target="https://faculty.eng.ufl.edu/timothy-townsend/" TargetMode="External"/><Relationship Id="rId51" Type="http://schemas.openxmlformats.org/officeDocument/2006/relationships/hyperlink" Target="https://www.umd.edu/" TargetMode="External"/><Relationship Id="rId72" Type="http://schemas.openxmlformats.org/officeDocument/2006/relationships/hyperlink" Target="https://www.battelle.org/" TargetMode="External"/><Relationship Id="rId93" Type="http://schemas.openxmlformats.org/officeDocument/2006/relationships/hyperlink" Target="https://ufrj.br/en/" TargetMode="External"/><Relationship Id="rId98" Type="http://schemas.openxmlformats.org/officeDocument/2006/relationships/hyperlink" Target="https://www.immt.res.in/?utm_source=chatgpt.com" TargetMode="External"/><Relationship Id="rId3" Type="http://schemas.openxmlformats.org/officeDocument/2006/relationships/hyperlink" Target="https://case.edu/" TargetMode="External"/><Relationship Id="rId25" Type="http://schemas.openxmlformats.org/officeDocument/2006/relationships/hyperlink" Target="https://www.tamu.edu/" TargetMode="External"/><Relationship Id="rId46" Type="http://schemas.openxmlformats.org/officeDocument/2006/relationships/hyperlink" Target="https://www.bnl.gov/" TargetMode="External"/><Relationship Id="rId67" Type="http://schemas.openxmlformats.org/officeDocument/2006/relationships/hyperlink" Target="https://www.spearstonesolutions.com/" TargetMode="External"/><Relationship Id="rId20" Type="http://schemas.openxmlformats.org/officeDocument/2006/relationships/hyperlink" Target="https://www.iastate.edu/" TargetMode="External"/><Relationship Id="rId41" Type="http://schemas.openxmlformats.org/officeDocument/2006/relationships/hyperlink" Target="https://www.srnl.gov/matter_magazine/tank-waste-disposal/" TargetMode="External"/><Relationship Id="rId62" Type="http://schemas.openxmlformats.org/officeDocument/2006/relationships/hyperlink" Target="https://exterracarbon.com/" TargetMode="External"/><Relationship Id="rId83" Type="http://schemas.openxmlformats.org/officeDocument/2006/relationships/hyperlink" Target="https://www.carbonsolutionsllc.com/" TargetMode="External"/><Relationship Id="rId88" Type="http://schemas.openxmlformats.org/officeDocument/2006/relationships/hyperlink" Target="https://www.gov.br/cdtn/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opLeftCell="A2" zoomScale="176" workbookViewId="0">
      <selection activeCell="A6" sqref="A6"/>
    </sheetView>
  </sheetViews>
  <sheetFormatPr baseColWidth="10" defaultColWidth="8.83203125" defaultRowHeight="15"/>
  <cols>
    <col min="1" max="1" width="90" customWidth="1"/>
  </cols>
  <sheetData>
    <row r="1" spans="1:1" s="1" customFormat="1" ht="22">
      <c r="A1" s="2" t="s">
        <v>0</v>
      </c>
    </row>
    <row r="3" spans="1:1" s="4" customFormat="1" ht="16">
      <c r="A3" s="3" t="s">
        <v>1</v>
      </c>
    </row>
    <row r="4" spans="1:1" s="4" customFormat="1" ht="16">
      <c r="A4" s="4" t="s">
        <v>2</v>
      </c>
    </row>
    <row r="5" spans="1:1" s="4" customFormat="1" ht="16">
      <c r="A5" s="4" t="s">
        <v>3</v>
      </c>
    </row>
    <row r="6" spans="1:1" s="4" customFormat="1" ht="16">
      <c r="A6" s="4" t="s">
        <v>4</v>
      </c>
    </row>
    <row r="7" spans="1:1" s="4" customFormat="1" ht="16">
      <c r="A7" s="4" t="s">
        <v>5</v>
      </c>
    </row>
    <row r="8" spans="1:1" s="4" customFormat="1" ht="16">
      <c r="A8" s="4" t="s">
        <v>6</v>
      </c>
    </row>
    <row r="9" spans="1:1" s="4" customFormat="1" ht="16">
      <c r="A9" s="4" t="s">
        <v>7</v>
      </c>
    </row>
    <row r="10" spans="1:1" s="4" customFormat="1" ht="16">
      <c r="A10" s="4" t="s">
        <v>8</v>
      </c>
    </row>
    <row r="11" spans="1:1" s="4" customFormat="1" ht="16"/>
    <row r="12" spans="1:1" s="4" customFormat="1" ht="17">
      <c r="A12" s="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sheetViews>
  <sheetFormatPr baseColWidth="10" defaultColWidth="8.83203125" defaultRowHeight="15"/>
  <sheetData>
    <row r="1" spans="1:5">
      <c r="A1" t="s">
        <v>10</v>
      </c>
      <c r="B1" t="s">
        <v>11</v>
      </c>
      <c r="C1" t="s">
        <v>12</v>
      </c>
      <c r="D1" t="s">
        <v>13</v>
      </c>
      <c r="E1" t="s">
        <v>14</v>
      </c>
    </row>
    <row r="2" spans="1:5">
      <c r="A2" t="s">
        <v>15</v>
      </c>
      <c r="B2" t="s">
        <v>16</v>
      </c>
      <c r="C2" t="s">
        <v>17</v>
      </c>
      <c r="D2" t="s">
        <v>18</v>
      </c>
      <c r="E2" t="s">
        <v>19</v>
      </c>
    </row>
    <row r="3" spans="1:5">
      <c r="A3" t="s">
        <v>20</v>
      </c>
      <c r="B3" t="s">
        <v>21</v>
      </c>
      <c r="C3" t="s">
        <v>22</v>
      </c>
      <c r="D3" t="s">
        <v>23</v>
      </c>
      <c r="E3" t="s">
        <v>24</v>
      </c>
    </row>
    <row r="4" spans="1:5">
      <c r="A4" t="s">
        <v>25</v>
      </c>
      <c r="B4" t="s">
        <v>26</v>
      </c>
      <c r="C4" t="s">
        <v>27</v>
      </c>
      <c r="D4" t="s">
        <v>28</v>
      </c>
    </row>
    <row r="5" spans="1:5">
      <c r="C5" t="s">
        <v>29</v>
      </c>
      <c r="D5"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45"/>
  <sheetViews>
    <sheetView tabSelected="1" workbookViewId="0">
      <pane ySplit="1" topLeftCell="A83" activePane="bottomLeft" state="frozen"/>
      <selection pane="bottomLeft" activeCell="B1" sqref="A1:XFD1048576"/>
    </sheetView>
  </sheetViews>
  <sheetFormatPr baseColWidth="10" defaultColWidth="8.83203125" defaultRowHeight="15"/>
  <cols>
    <col min="1" max="1" width="47.33203125" style="12" customWidth="1"/>
    <col min="2" max="2" width="27.83203125" style="12" customWidth="1"/>
    <col min="3" max="3" width="41.83203125" style="12" customWidth="1"/>
    <col min="4" max="4" width="34.1640625" style="12" customWidth="1"/>
    <col min="5" max="5" width="43" style="12" customWidth="1"/>
    <col min="6" max="6" width="35.6640625" style="12" customWidth="1"/>
    <col min="7" max="7" width="42.6640625" style="12" customWidth="1"/>
    <col min="8" max="8" width="40.83203125" style="12" customWidth="1"/>
    <col min="9" max="9" width="40.33203125" style="12" customWidth="1"/>
    <col min="10" max="10" width="38.6640625" style="12" customWidth="1"/>
    <col min="11" max="11" width="27.6640625" style="12" customWidth="1"/>
    <col min="12" max="15" width="24" style="12" customWidth="1"/>
    <col min="16" max="16" width="40.6640625" style="12" customWidth="1"/>
    <col min="17" max="18" width="24" style="12" customWidth="1"/>
    <col min="19" max="19" width="33.5" style="12" customWidth="1"/>
    <col min="20" max="20" width="46.33203125" style="12" customWidth="1"/>
    <col min="21" max="21" width="42.1640625" style="12" customWidth="1"/>
    <col min="22" max="22" width="56.5" style="12" customWidth="1"/>
    <col min="23" max="23" width="45.5" style="12" customWidth="1"/>
    <col min="24" max="16384" width="8.83203125" style="12"/>
  </cols>
  <sheetData>
    <row r="1" spans="1:23" s="9" customFormat="1" ht="48.75" customHeight="1">
      <c r="A1" s="6" t="s">
        <v>31</v>
      </c>
      <c r="B1" s="6" t="s">
        <v>32</v>
      </c>
      <c r="C1" s="6" t="s">
        <v>33</v>
      </c>
      <c r="D1" s="6" t="s">
        <v>34</v>
      </c>
      <c r="E1" s="7" t="s">
        <v>35</v>
      </c>
      <c r="F1" s="6" t="s">
        <v>36</v>
      </c>
      <c r="G1" s="6" t="s">
        <v>37</v>
      </c>
      <c r="H1" s="6" t="s">
        <v>38</v>
      </c>
      <c r="I1" s="6" t="s">
        <v>39</v>
      </c>
      <c r="J1" s="6" t="s">
        <v>40</v>
      </c>
      <c r="K1" s="6" t="s">
        <v>41</v>
      </c>
      <c r="L1" s="50" t="s">
        <v>42</v>
      </c>
      <c r="M1" s="50"/>
      <c r="N1" s="50"/>
      <c r="O1" s="50"/>
      <c r="P1" s="6" t="s">
        <v>43</v>
      </c>
      <c r="Q1" s="6" t="s">
        <v>44</v>
      </c>
      <c r="R1" s="6" t="s">
        <v>45</v>
      </c>
      <c r="S1" s="6" t="s">
        <v>46</v>
      </c>
      <c r="T1" s="6" t="s">
        <v>47</v>
      </c>
      <c r="U1" s="6" t="s">
        <v>48</v>
      </c>
      <c r="V1" s="6" t="s">
        <v>49</v>
      </c>
      <c r="W1" s="8" t="s">
        <v>50</v>
      </c>
    </row>
    <row r="2" spans="1:23" s="9" customFormat="1" ht="27">
      <c r="A2" s="6"/>
      <c r="B2" s="6"/>
      <c r="C2" s="6"/>
      <c r="D2" s="6"/>
      <c r="E2" s="7"/>
      <c r="F2" s="6"/>
      <c r="G2" s="6"/>
      <c r="H2" s="6"/>
      <c r="I2" s="6"/>
      <c r="J2" s="6"/>
      <c r="K2" s="6"/>
      <c r="L2" s="7" t="s">
        <v>12</v>
      </c>
      <c r="M2" s="7" t="s">
        <v>17</v>
      </c>
      <c r="N2" s="7" t="s">
        <v>22</v>
      </c>
      <c r="O2" s="7" t="s">
        <v>27</v>
      </c>
      <c r="P2" s="6"/>
      <c r="Q2" s="6"/>
      <c r="R2" s="6"/>
      <c r="S2" s="6"/>
      <c r="T2" s="6"/>
      <c r="U2" s="6"/>
      <c r="V2" s="6"/>
      <c r="W2" s="8"/>
    </row>
    <row r="3" spans="1:23" ht="20">
      <c r="A3" s="10" t="s">
        <v>51</v>
      </c>
      <c r="B3" s="11"/>
      <c r="C3" s="11"/>
      <c r="D3" s="11"/>
      <c r="E3" s="11"/>
      <c r="F3" s="11"/>
      <c r="G3" s="11"/>
      <c r="H3" s="11"/>
      <c r="I3" s="11"/>
      <c r="J3" s="11"/>
      <c r="K3" s="11"/>
      <c r="L3" s="11"/>
      <c r="M3" s="11"/>
      <c r="N3" s="11"/>
      <c r="O3" s="11"/>
      <c r="P3" s="11"/>
      <c r="Q3" s="11"/>
      <c r="R3" s="11"/>
      <c r="S3" s="11"/>
      <c r="T3" s="11"/>
      <c r="U3" s="11"/>
      <c r="V3" s="11"/>
      <c r="W3" s="11"/>
    </row>
    <row r="4" spans="1:23" ht="355.5" customHeight="1">
      <c r="A4" s="13" t="s">
        <v>52</v>
      </c>
      <c r="B4" s="13" t="s">
        <v>10</v>
      </c>
      <c r="C4" s="11" t="s">
        <v>53</v>
      </c>
      <c r="D4" s="11" t="s">
        <v>54</v>
      </c>
      <c r="E4" s="14" t="s">
        <v>55</v>
      </c>
      <c r="F4" s="13" t="s">
        <v>56</v>
      </c>
      <c r="G4" s="11" t="s">
        <v>57</v>
      </c>
      <c r="H4" s="11" t="s">
        <v>58</v>
      </c>
      <c r="I4" s="11" t="s">
        <v>59</v>
      </c>
      <c r="J4" s="11" t="s">
        <v>60</v>
      </c>
      <c r="K4" s="13" t="s">
        <v>21</v>
      </c>
      <c r="L4" s="13" t="s">
        <v>61</v>
      </c>
      <c r="M4" s="13" t="s">
        <v>61</v>
      </c>
      <c r="N4" s="13" t="s">
        <v>61</v>
      </c>
      <c r="O4" s="13" t="s">
        <v>62</v>
      </c>
      <c r="P4" s="11" t="s">
        <v>63</v>
      </c>
      <c r="Q4" s="13" t="s">
        <v>28</v>
      </c>
      <c r="R4" s="13" t="s">
        <v>14</v>
      </c>
      <c r="S4" s="13" t="s">
        <v>64</v>
      </c>
      <c r="T4" s="13" t="s">
        <v>65</v>
      </c>
      <c r="U4" s="15" t="s">
        <v>66</v>
      </c>
      <c r="V4" s="11" t="s">
        <v>67</v>
      </c>
      <c r="W4" s="16" t="s">
        <v>68</v>
      </c>
    </row>
    <row r="5" spans="1:23" ht="356">
      <c r="A5" s="17" t="s">
        <v>69</v>
      </c>
      <c r="B5" s="11" t="s">
        <v>15</v>
      </c>
      <c r="C5" s="18" t="s">
        <v>70</v>
      </c>
      <c r="D5" s="11" t="s">
        <v>71</v>
      </c>
      <c r="E5" s="15" t="s">
        <v>72</v>
      </c>
      <c r="F5" s="18" t="s">
        <v>73</v>
      </c>
      <c r="G5" s="18" t="s">
        <v>74</v>
      </c>
      <c r="H5" s="18" t="s">
        <v>75</v>
      </c>
      <c r="I5" s="11" t="s">
        <v>76</v>
      </c>
      <c r="J5" s="11" t="s">
        <v>77</v>
      </c>
      <c r="L5" s="13" t="s">
        <v>62</v>
      </c>
      <c r="M5" s="13" t="s">
        <v>62</v>
      </c>
      <c r="N5" s="13" t="s">
        <v>61</v>
      </c>
      <c r="O5" s="13" t="s">
        <v>62</v>
      </c>
      <c r="P5" s="18" t="s">
        <v>78</v>
      </c>
      <c r="Q5" s="11" t="s">
        <v>28</v>
      </c>
      <c r="R5" s="11" t="s">
        <v>19</v>
      </c>
      <c r="S5" s="11" t="s">
        <v>79</v>
      </c>
      <c r="T5" s="11" t="s">
        <v>80</v>
      </c>
      <c r="U5" s="15" t="s">
        <v>81</v>
      </c>
      <c r="V5" s="11" t="s">
        <v>82</v>
      </c>
      <c r="W5" s="11" t="s">
        <v>83</v>
      </c>
    </row>
    <row r="6" spans="1:23" ht="255">
      <c r="A6" s="17" t="s">
        <v>84</v>
      </c>
      <c r="B6" s="11" t="s">
        <v>15</v>
      </c>
      <c r="C6" s="18" t="s">
        <v>85</v>
      </c>
      <c r="D6" s="11" t="s">
        <v>86</v>
      </c>
      <c r="E6" s="19" t="s">
        <v>87</v>
      </c>
      <c r="F6" s="18" t="s">
        <v>88</v>
      </c>
      <c r="G6" s="18" t="s">
        <v>89</v>
      </c>
      <c r="H6" s="18" t="s">
        <v>90</v>
      </c>
      <c r="I6" s="11" t="s">
        <v>91</v>
      </c>
      <c r="J6" s="11"/>
      <c r="L6" s="13" t="s">
        <v>62</v>
      </c>
      <c r="M6" s="13" t="s">
        <v>61</v>
      </c>
      <c r="N6" s="13" t="s">
        <v>62</v>
      </c>
      <c r="O6" s="13" t="s">
        <v>62</v>
      </c>
      <c r="P6" s="18" t="s">
        <v>92</v>
      </c>
      <c r="Q6" s="11" t="s">
        <v>28</v>
      </c>
      <c r="R6" s="11" t="s">
        <v>14</v>
      </c>
      <c r="S6" s="11" t="s">
        <v>93</v>
      </c>
      <c r="T6" s="11" t="s">
        <v>94</v>
      </c>
      <c r="U6" s="15" t="s">
        <v>95</v>
      </c>
      <c r="V6" s="11" t="s">
        <v>96</v>
      </c>
      <c r="W6" s="11" t="s">
        <v>97</v>
      </c>
    </row>
    <row r="7" spans="1:23" ht="323">
      <c r="A7" s="11" t="s">
        <v>98</v>
      </c>
      <c r="B7" s="11" t="s">
        <v>15</v>
      </c>
      <c r="C7" s="11" t="s">
        <v>99</v>
      </c>
      <c r="D7" s="11" t="s">
        <v>100</v>
      </c>
      <c r="E7" s="19" t="s">
        <v>101</v>
      </c>
      <c r="F7" s="18" t="s">
        <v>102</v>
      </c>
      <c r="G7" s="11" t="s">
        <v>103</v>
      </c>
      <c r="H7" s="11" t="s">
        <v>104</v>
      </c>
      <c r="I7" s="11" t="s">
        <v>105</v>
      </c>
      <c r="J7" s="11" t="s">
        <v>106</v>
      </c>
      <c r="K7" s="11" t="s">
        <v>21</v>
      </c>
      <c r="L7" s="13" t="s">
        <v>62</v>
      </c>
      <c r="M7" s="13" t="s">
        <v>62</v>
      </c>
      <c r="N7" s="13" t="s">
        <v>62</v>
      </c>
      <c r="O7" s="13" t="s">
        <v>61</v>
      </c>
      <c r="P7" s="11" t="s">
        <v>107</v>
      </c>
      <c r="Q7" s="11" t="s">
        <v>28</v>
      </c>
      <c r="R7" s="11" t="s">
        <v>14</v>
      </c>
      <c r="S7" s="11" t="s">
        <v>108</v>
      </c>
      <c r="T7" s="11" t="s">
        <v>109</v>
      </c>
      <c r="U7" s="11" t="s">
        <v>110</v>
      </c>
      <c r="V7" s="11" t="s">
        <v>111</v>
      </c>
      <c r="W7" s="11" t="s">
        <v>112</v>
      </c>
    </row>
    <row r="8" spans="1:23" ht="409.6">
      <c r="A8" s="11" t="s">
        <v>113</v>
      </c>
      <c r="B8" s="11" t="s">
        <v>15</v>
      </c>
      <c r="C8" s="11" t="s">
        <v>114</v>
      </c>
      <c r="D8" s="11" t="s">
        <v>115</v>
      </c>
      <c r="E8" s="19" t="s">
        <v>116</v>
      </c>
      <c r="F8" s="18" t="s">
        <v>117</v>
      </c>
      <c r="G8" s="11" t="s">
        <v>118</v>
      </c>
      <c r="H8" s="11" t="s">
        <v>119</v>
      </c>
      <c r="I8" s="11" t="s">
        <v>120</v>
      </c>
      <c r="J8" s="11" t="s">
        <v>121</v>
      </c>
      <c r="K8" s="11" t="s">
        <v>21</v>
      </c>
      <c r="L8" s="13" t="s">
        <v>62</v>
      </c>
      <c r="M8" s="13" t="s">
        <v>61</v>
      </c>
      <c r="N8" s="13" t="s">
        <v>61</v>
      </c>
      <c r="O8" s="13" t="s">
        <v>61</v>
      </c>
      <c r="P8" s="11" t="s">
        <v>122</v>
      </c>
      <c r="Q8" s="11" t="s">
        <v>28</v>
      </c>
      <c r="R8" s="11" t="s">
        <v>19</v>
      </c>
      <c r="S8" s="11" t="s">
        <v>123</v>
      </c>
      <c r="T8" s="11" t="s">
        <v>124</v>
      </c>
      <c r="U8" s="19" t="s">
        <v>125</v>
      </c>
      <c r="V8" s="11" t="s">
        <v>126</v>
      </c>
      <c r="W8" s="11" t="s">
        <v>127</v>
      </c>
    </row>
    <row r="9" spans="1:23" ht="409.6">
      <c r="A9" s="11" t="s">
        <v>128</v>
      </c>
      <c r="B9" s="11" t="s">
        <v>15</v>
      </c>
      <c r="C9" s="11" t="s">
        <v>129</v>
      </c>
      <c r="D9" s="11" t="s">
        <v>130</v>
      </c>
      <c r="E9" s="19" t="s">
        <v>131</v>
      </c>
      <c r="F9" s="18" t="s">
        <v>132</v>
      </c>
      <c r="G9" s="11" t="s">
        <v>133</v>
      </c>
      <c r="H9" s="11" t="s">
        <v>134</v>
      </c>
      <c r="I9" s="11" t="s">
        <v>135</v>
      </c>
      <c r="J9" s="11" t="s">
        <v>136</v>
      </c>
      <c r="K9" s="11" t="s">
        <v>16</v>
      </c>
      <c r="L9" s="13" t="s">
        <v>61</v>
      </c>
      <c r="M9" s="13" t="s">
        <v>61</v>
      </c>
      <c r="N9" s="13" t="s">
        <v>61</v>
      </c>
      <c r="O9" s="13" t="s">
        <v>62</v>
      </c>
      <c r="P9" s="11" t="s">
        <v>137</v>
      </c>
      <c r="Q9" s="11" t="s">
        <v>28</v>
      </c>
      <c r="R9" s="11" t="s">
        <v>19</v>
      </c>
      <c r="S9" s="11" t="s">
        <v>138</v>
      </c>
      <c r="T9" s="11" t="s">
        <v>139</v>
      </c>
      <c r="U9" s="19" t="s">
        <v>140</v>
      </c>
      <c r="V9" s="11" t="s">
        <v>141</v>
      </c>
      <c r="W9" s="11" t="s">
        <v>142</v>
      </c>
    </row>
    <row r="10" spans="1:23" ht="409.6">
      <c r="A10" s="11" t="s">
        <v>143</v>
      </c>
      <c r="B10" s="11" t="s">
        <v>15</v>
      </c>
      <c r="C10" s="11" t="s">
        <v>144</v>
      </c>
      <c r="D10" s="11" t="s">
        <v>145</v>
      </c>
      <c r="E10" s="19" t="s">
        <v>146</v>
      </c>
      <c r="F10" s="18" t="s">
        <v>147</v>
      </c>
      <c r="G10" s="11" t="s">
        <v>148</v>
      </c>
      <c r="H10" s="11" t="s">
        <v>149</v>
      </c>
      <c r="I10" s="11" t="s">
        <v>150</v>
      </c>
      <c r="J10" s="11" t="s">
        <v>151</v>
      </c>
      <c r="K10" s="11" t="s">
        <v>16</v>
      </c>
      <c r="L10" s="13" t="s">
        <v>61</v>
      </c>
      <c r="M10" s="13" t="s">
        <v>61</v>
      </c>
      <c r="N10" s="13" t="s">
        <v>62</v>
      </c>
      <c r="O10" s="13" t="s">
        <v>62</v>
      </c>
      <c r="P10" s="11" t="s">
        <v>152</v>
      </c>
      <c r="Q10" s="11" t="s">
        <v>28</v>
      </c>
      <c r="R10" s="11" t="s">
        <v>19</v>
      </c>
      <c r="S10" s="11" t="s">
        <v>153</v>
      </c>
      <c r="T10" s="11" t="s">
        <v>154</v>
      </c>
      <c r="U10" s="19" t="s">
        <v>155</v>
      </c>
      <c r="V10" s="11" t="s">
        <v>156</v>
      </c>
      <c r="W10" s="11" t="s">
        <v>157</v>
      </c>
    </row>
    <row r="11" spans="1:23" ht="409.6">
      <c r="A11" s="11" t="s">
        <v>158</v>
      </c>
      <c r="B11" s="11" t="s">
        <v>15</v>
      </c>
      <c r="C11" s="11" t="s">
        <v>159</v>
      </c>
      <c r="D11" s="11" t="s">
        <v>160</v>
      </c>
      <c r="E11" s="19" t="s">
        <v>161</v>
      </c>
      <c r="F11" s="18" t="s">
        <v>162</v>
      </c>
      <c r="G11" s="11" t="s">
        <v>163</v>
      </c>
      <c r="H11" s="11" t="s">
        <v>164</v>
      </c>
      <c r="I11" s="11" t="s">
        <v>165</v>
      </c>
      <c r="J11" s="11" t="s">
        <v>166</v>
      </c>
      <c r="K11" s="11" t="s">
        <v>21</v>
      </c>
      <c r="L11" s="13" t="s">
        <v>62</v>
      </c>
      <c r="M11" s="13" t="s">
        <v>61</v>
      </c>
      <c r="N11" s="13" t="s">
        <v>61</v>
      </c>
      <c r="O11" s="13" t="s">
        <v>61</v>
      </c>
      <c r="P11" s="11" t="s">
        <v>167</v>
      </c>
      <c r="Q11" s="11" t="s">
        <v>30</v>
      </c>
      <c r="R11" s="11" t="s">
        <v>14</v>
      </c>
      <c r="S11" s="11" t="s">
        <v>168</v>
      </c>
      <c r="T11" s="11" t="s">
        <v>169</v>
      </c>
      <c r="U11" s="19" t="s">
        <v>170</v>
      </c>
      <c r="V11" s="11" t="s">
        <v>171</v>
      </c>
      <c r="W11" s="11" t="s">
        <v>172</v>
      </c>
    </row>
    <row r="12" spans="1:23" ht="409.6">
      <c r="A12" s="11" t="s">
        <v>173</v>
      </c>
      <c r="B12" s="11" t="s">
        <v>15</v>
      </c>
      <c r="C12" s="11" t="s">
        <v>174</v>
      </c>
      <c r="D12" s="11" t="s">
        <v>175</v>
      </c>
      <c r="E12" s="19" t="s">
        <v>176</v>
      </c>
      <c r="F12" s="18" t="s">
        <v>177</v>
      </c>
      <c r="G12" s="11" t="s">
        <v>178</v>
      </c>
      <c r="H12" s="11" t="s">
        <v>179</v>
      </c>
      <c r="I12" s="11" t="s">
        <v>180</v>
      </c>
      <c r="J12" s="11" t="s">
        <v>181</v>
      </c>
      <c r="K12" s="11" t="s">
        <v>16</v>
      </c>
      <c r="L12" s="13" t="s">
        <v>61</v>
      </c>
      <c r="M12" s="13" t="s">
        <v>61</v>
      </c>
      <c r="N12" s="13" t="s">
        <v>62</v>
      </c>
      <c r="O12" s="13" t="s">
        <v>62</v>
      </c>
      <c r="P12" s="11" t="s">
        <v>182</v>
      </c>
      <c r="Q12" s="11" t="s">
        <v>28</v>
      </c>
      <c r="R12" s="11" t="s">
        <v>19</v>
      </c>
      <c r="S12" s="11" t="s">
        <v>183</v>
      </c>
      <c r="T12" s="11" t="s">
        <v>184</v>
      </c>
      <c r="U12" s="19" t="s">
        <v>185</v>
      </c>
      <c r="V12" s="11" t="s">
        <v>186</v>
      </c>
      <c r="W12" s="11" t="s">
        <v>187</v>
      </c>
    </row>
    <row r="13" spans="1:23" ht="404">
      <c r="A13" s="11" t="s">
        <v>188</v>
      </c>
      <c r="B13" s="11" t="s">
        <v>15</v>
      </c>
      <c r="C13" s="11" t="s">
        <v>189</v>
      </c>
      <c r="D13" s="11" t="s">
        <v>190</v>
      </c>
      <c r="E13" s="19" t="s">
        <v>191</v>
      </c>
      <c r="F13" s="18" t="s">
        <v>192</v>
      </c>
      <c r="G13" s="11" t="s">
        <v>193</v>
      </c>
      <c r="H13" s="11" t="s">
        <v>194</v>
      </c>
      <c r="I13" s="11" t="s">
        <v>195</v>
      </c>
      <c r="J13" s="11" t="s">
        <v>196</v>
      </c>
      <c r="K13" s="11" t="s">
        <v>21</v>
      </c>
      <c r="L13" s="13" t="s">
        <v>62</v>
      </c>
      <c r="M13" s="13" t="s">
        <v>62</v>
      </c>
      <c r="N13" s="13" t="s">
        <v>61</v>
      </c>
      <c r="O13" s="13" t="s">
        <v>61</v>
      </c>
      <c r="P13" s="11" t="s">
        <v>197</v>
      </c>
      <c r="Q13" s="11" t="s">
        <v>28</v>
      </c>
      <c r="R13" s="11" t="s">
        <v>19</v>
      </c>
      <c r="S13" s="11" t="s">
        <v>198</v>
      </c>
      <c r="T13" s="11" t="s">
        <v>199</v>
      </c>
      <c r="U13" s="19" t="s">
        <v>200</v>
      </c>
      <c r="V13" s="11" t="s">
        <v>201</v>
      </c>
      <c r="W13" s="11"/>
    </row>
    <row r="14" spans="1:23" ht="371.25" customHeight="1">
      <c r="A14" s="13" t="s">
        <v>202</v>
      </c>
      <c r="B14" s="13" t="s">
        <v>15</v>
      </c>
      <c r="C14" s="13" t="s">
        <v>203</v>
      </c>
      <c r="D14" s="13" t="s">
        <v>204</v>
      </c>
      <c r="E14" s="20" t="s">
        <v>205</v>
      </c>
      <c r="F14" s="13" t="s">
        <v>206</v>
      </c>
      <c r="G14" s="11" t="s">
        <v>207</v>
      </c>
      <c r="H14" s="13" t="s">
        <v>208</v>
      </c>
      <c r="I14" s="11" t="s">
        <v>209</v>
      </c>
      <c r="J14" s="11" t="s">
        <v>210</v>
      </c>
      <c r="K14" s="13" t="s">
        <v>21</v>
      </c>
      <c r="L14" s="13" t="s">
        <v>61</v>
      </c>
      <c r="M14" s="13" t="s">
        <v>61</v>
      </c>
      <c r="N14" s="13" t="s">
        <v>62</v>
      </c>
      <c r="O14" s="13" t="s">
        <v>62</v>
      </c>
      <c r="P14" s="18" t="s">
        <v>211</v>
      </c>
      <c r="Q14" s="13" t="s">
        <v>30</v>
      </c>
      <c r="R14" s="13" t="s">
        <v>212</v>
      </c>
      <c r="S14" s="11" t="s">
        <v>213</v>
      </c>
      <c r="T14" s="11" t="s">
        <v>214</v>
      </c>
      <c r="U14" s="15" t="s">
        <v>215</v>
      </c>
      <c r="V14" s="11" t="s">
        <v>216</v>
      </c>
      <c r="W14" s="11" t="s">
        <v>217</v>
      </c>
    </row>
    <row r="15" spans="1:23" ht="371.25" customHeight="1">
      <c r="A15" s="13" t="s">
        <v>218</v>
      </c>
      <c r="B15" s="13" t="s">
        <v>15</v>
      </c>
      <c r="C15" s="13" t="s">
        <v>219</v>
      </c>
      <c r="D15" s="13" t="s">
        <v>220</v>
      </c>
      <c r="E15" s="20" t="s">
        <v>221</v>
      </c>
      <c r="F15" s="13" t="s">
        <v>222</v>
      </c>
      <c r="G15" s="11" t="s">
        <v>223</v>
      </c>
      <c r="H15" s="13" t="s">
        <v>224</v>
      </c>
      <c r="I15" s="11" t="s">
        <v>225</v>
      </c>
      <c r="J15" s="11" t="s">
        <v>226</v>
      </c>
      <c r="K15" s="13" t="s">
        <v>16</v>
      </c>
      <c r="L15" s="13" t="s">
        <v>61</v>
      </c>
      <c r="M15" s="13" t="s">
        <v>61</v>
      </c>
      <c r="N15" s="13" t="s">
        <v>61</v>
      </c>
      <c r="O15" s="13" t="s">
        <v>61</v>
      </c>
      <c r="P15" s="18" t="s">
        <v>227</v>
      </c>
      <c r="Q15" s="13" t="s">
        <v>28</v>
      </c>
      <c r="R15" s="13" t="s">
        <v>14</v>
      </c>
      <c r="S15" s="11" t="s">
        <v>228</v>
      </c>
      <c r="T15" s="11" t="s">
        <v>229</v>
      </c>
      <c r="U15" s="15" t="s">
        <v>230</v>
      </c>
      <c r="V15" s="11" t="s">
        <v>231</v>
      </c>
      <c r="W15" s="11" t="s">
        <v>232</v>
      </c>
    </row>
    <row r="16" spans="1:23" ht="371.25" customHeight="1">
      <c r="A16" s="13" t="s">
        <v>233</v>
      </c>
      <c r="B16" s="13" t="s">
        <v>15</v>
      </c>
      <c r="C16" s="13" t="s">
        <v>234</v>
      </c>
      <c r="D16" s="13" t="s">
        <v>235</v>
      </c>
      <c r="E16" s="14" t="s">
        <v>236</v>
      </c>
      <c r="F16" s="13" t="s">
        <v>237</v>
      </c>
      <c r="G16" s="11" t="s">
        <v>238</v>
      </c>
      <c r="H16" s="13" t="s">
        <v>239</v>
      </c>
      <c r="I16" s="11" t="s">
        <v>240</v>
      </c>
      <c r="J16" s="11" t="s">
        <v>241</v>
      </c>
      <c r="K16" s="13" t="s">
        <v>16</v>
      </c>
      <c r="L16" s="13" t="s">
        <v>62</v>
      </c>
      <c r="M16" s="13" t="s">
        <v>61</v>
      </c>
      <c r="N16" s="13" t="s">
        <v>62</v>
      </c>
      <c r="O16" s="13" t="s">
        <v>61</v>
      </c>
      <c r="P16" s="18" t="s">
        <v>242</v>
      </c>
      <c r="Q16" s="13" t="s">
        <v>28</v>
      </c>
      <c r="R16" s="13" t="s">
        <v>19</v>
      </c>
      <c r="S16" s="11" t="s">
        <v>243</v>
      </c>
      <c r="T16" s="11" t="s">
        <v>244</v>
      </c>
      <c r="U16" s="15" t="s">
        <v>245</v>
      </c>
      <c r="V16" s="11" t="s">
        <v>246</v>
      </c>
      <c r="W16" s="11"/>
    </row>
    <row r="17" spans="1:25" ht="371.25" customHeight="1">
      <c r="A17" s="13" t="s">
        <v>247</v>
      </c>
      <c r="B17" s="13" t="s">
        <v>10</v>
      </c>
      <c r="C17" s="13" t="s">
        <v>248</v>
      </c>
      <c r="D17" s="13" t="s">
        <v>249</v>
      </c>
      <c r="E17" s="14" t="s">
        <v>250</v>
      </c>
      <c r="F17" s="13" t="s">
        <v>251</v>
      </c>
      <c r="G17" s="11" t="s">
        <v>252</v>
      </c>
      <c r="H17" s="13" t="s">
        <v>253</v>
      </c>
      <c r="I17" s="11" t="s">
        <v>254</v>
      </c>
      <c r="J17" s="11" t="s">
        <v>255</v>
      </c>
      <c r="K17" s="13" t="s">
        <v>21</v>
      </c>
      <c r="L17" s="13" t="s">
        <v>61</v>
      </c>
      <c r="M17" s="13" t="s">
        <v>61</v>
      </c>
      <c r="N17" s="13" t="s">
        <v>62</v>
      </c>
      <c r="O17" s="13" t="s">
        <v>62</v>
      </c>
      <c r="P17" s="18" t="s">
        <v>256</v>
      </c>
      <c r="Q17" s="13" t="s">
        <v>28</v>
      </c>
      <c r="R17" s="13" t="s">
        <v>257</v>
      </c>
      <c r="S17" s="11" t="s">
        <v>258</v>
      </c>
      <c r="T17" s="11" t="s">
        <v>259</v>
      </c>
      <c r="U17" s="15" t="s">
        <v>260</v>
      </c>
      <c r="V17" s="11" t="s">
        <v>261</v>
      </c>
      <c r="W17" s="11" t="s">
        <v>262</v>
      </c>
    </row>
    <row r="18" spans="1:25" ht="371.25" customHeight="1">
      <c r="A18" s="13" t="s">
        <v>263</v>
      </c>
      <c r="B18" s="13" t="s">
        <v>15</v>
      </c>
      <c r="C18" s="13" t="s">
        <v>264</v>
      </c>
      <c r="D18" s="13" t="s">
        <v>265</v>
      </c>
      <c r="E18" s="14" t="s">
        <v>266</v>
      </c>
      <c r="F18" s="13" t="s">
        <v>267</v>
      </c>
      <c r="G18" s="11" t="s">
        <v>268</v>
      </c>
      <c r="H18" s="13" t="s">
        <v>269</v>
      </c>
      <c r="I18" s="11" t="s">
        <v>270</v>
      </c>
      <c r="J18" s="11" t="s">
        <v>271</v>
      </c>
      <c r="K18" s="13" t="s">
        <v>21</v>
      </c>
      <c r="L18" s="13" t="s">
        <v>61</v>
      </c>
      <c r="M18" s="13" t="s">
        <v>61</v>
      </c>
      <c r="N18" s="13" t="s">
        <v>62</v>
      </c>
      <c r="O18" s="13" t="s">
        <v>62</v>
      </c>
      <c r="P18" s="18" t="s">
        <v>272</v>
      </c>
      <c r="Q18" s="13" t="s">
        <v>23</v>
      </c>
      <c r="R18" s="13" t="s">
        <v>14</v>
      </c>
      <c r="S18" s="11" t="s">
        <v>273</v>
      </c>
      <c r="T18" s="11" t="s">
        <v>274</v>
      </c>
      <c r="U18" s="15" t="s">
        <v>275</v>
      </c>
      <c r="V18" s="11" t="s">
        <v>276</v>
      </c>
      <c r="W18" s="11" t="s">
        <v>277</v>
      </c>
    </row>
    <row r="19" spans="1:25" ht="371.25" customHeight="1">
      <c r="A19" s="13" t="s">
        <v>278</v>
      </c>
      <c r="B19" s="13" t="s">
        <v>15</v>
      </c>
      <c r="C19" s="13" t="s">
        <v>279</v>
      </c>
      <c r="D19" s="13" t="s">
        <v>280</v>
      </c>
      <c r="E19" s="14" t="s">
        <v>281</v>
      </c>
      <c r="F19" s="13" t="s">
        <v>282</v>
      </c>
      <c r="G19" s="11" t="s">
        <v>283</v>
      </c>
      <c r="H19" s="13" t="s">
        <v>284</v>
      </c>
      <c r="I19" s="11" t="s">
        <v>285</v>
      </c>
      <c r="J19" s="11" t="s">
        <v>286</v>
      </c>
      <c r="K19" s="13" t="s">
        <v>21</v>
      </c>
      <c r="L19" s="13" t="s">
        <v>61</v>
      </c>
      <c r="M19" s="13" t="s">
        <v>61</v>
      </c>
      <c r="N19" s="13" t="s">
        <v>62</v>
      </c>
      <c r="O19" s="13" t="s">
        <v>62</v>
      </c>
      <c r="P19" s="18" t="s">
        <v>287</v>
      </c>
      <c r="Q19" s="13" t="s">
        <v>23</v>
      </c>
      <c r="R19" s="13" t="s">
        <v>14</v>
      </c>
      <c r="S19" s="11" t="s">
        <v>288</v>
      </c>
      <c r="T19" s="11" t="s">
        <v>289</v>
      </c>
      <c r="U19" s="15" t="s">
        <v>290</v>
      </c>
      <c r="V19" s="11" t="s">
        <v>291</v>
      </c>
      <c r="W19" s="11" t="s">
        <v>292</v>
      </c>
    </row>
    <row r="20" spans="1:25" ht="26.25" customHeight="1">
      <c r="A20" s="21" t="s">
        <v>293</v>
      </c>
      <c r="B20" s="13"/>
      <c r="C20" s="11"/>
      <c r="D20" s="11"/>
      <c r="E20" s="20"/>
      <c r="F20" s="13"/>
      <c r="G20" s="11"/>
      <c r="H20" s="11"/>
      <c r="I20" s="11"/>
      <c r="J20" s="11"/>
      <c r="K20" s="13"/>
      <c r="L20" s="13"/>
      <c r="M20" s="13"/>
      <c r="N20" s="13"/>
      <c r="O20" s="13"/>
      <c r="P20" s="11"/>
      <c r="Q20" s="13"/>
      <c r="R20" s="13"/>
      <c r="S20" s="13"/>
      <c r="T20" s="13"/>
      <c r="U20" s="15"/>
      <c r="V20" s="11"/>
      <c r="W20" s="16"/>
      <c r="X20" s="22"/>
      <c r="Y20" s="22"/>
    </row>
    <row r="21" spans="1:25" ht="322.5" customHeight="1">
      <c r="A21" s="23" t="s">
        <v>294</v>
      </c>
      <c r="B21" s="13" t="s">
        <v>10</v>
      </c>
      <c r="C21" s="11" t="s">
        <v>295</v>
      </c>
      <c r="D21" s="11" t="s">
        <v>296</v>
      </c>
      <c r="E21" s="14" t="s">
        <v>297</v>
      </c>
      <c r="F21" s="13" t="s">
        <v>298</v>
      </c>
      <c r="G21" s="11" t="s">
        <v>299</v>
      </c>
      <c r="H21" s="11" t="s">
        <v>300</v>
      </c>
      <c r="I21" s="11" t="s">
        <v>301</v>
      </c>
      <c r="J21" s="11" t="s">
        <v>302</v>
      </c>
      <c r="K21" s="13" t="s">
        <v>21</v>
      </c>
      <c r="L21" s="13" t="s">
        <v>61</v>
      </c>
      <c r="M21" s="13" t="s">
        <v>61</v>
      </c>
      <c r="N21" s="13" t="s">
        <v>61</v>
      </c>
      <c r="O21" s="13" t="s">
        <v>61</v>
      </c>
      <c r="P21" s="11" t="s">
        <v>303</v>
      </c>
      <c r="Q21" s="13" t="s">
        <v>30</v>
      </c>
      <c r="R21" s="13" t="s">
        <v>14</v>
      </c>
      <c r="S21" s="13" t="s">
        <v>304</v>
      </c>
      <c r="T21" s="13" t="s">
        <v>305</v>
      </c>
      <c r="U21" s="15" t="s">
        <v>306</v>
      </c>
      <c r="V21" s="11" t="s">
        <v>307</v>
      </c>
      <c r="W21" s="16" t="s">
        <v>308</v>
      </c>
      <c r="X21" s="22"/>
      <c r="Y21" s="22"/>
    </row>
    <row r="22" spans="1:25" ht="409.6">
      <c r="A22" s="11" t="s">
        <v>309</v>
      </c>
      <c r="B22" s="11" t="s">
        <v>10</v>
      </c>
      <c r="C22" s="18" t="s">
        <v>310</v>
      </c>
      <c r="D22" s="11" t="s">
        <v>311</v>
      </c>
      <c r="E22" s="24" t="s">
        <v>312</v>
      </c>
      <c r="F22" s="11" t="s">
        <v>313</v>
      </c>
      <c r="G22" s="18" t="s">
        <v>314</v>
      </c>
      <c r="H22" s="18" t="s">
        <v>315</v>
      </c>
      <c r="I22" s="25" t="s">
        <v>316</v>
      </c>
      <c r="J22" s="11" t="s">
        <v>317</v>
      </c>
      <c r="K22" s="11" t="s">
        <v>21</v>
      </c>
      <c r="L22" s="13" t="s">
        <v>61</v>
      </c>
      <c r="M22" s="13" t="s">
        <v>61</v>
      </c>
      <c r="N22" s="13" t="s">
        <v>62</v>
      </c>
      <c r="O22" s="13" t="s">
        <v>62</v>
      </c>
      <c r="P22" s="11" t="s">
        <v>318</v>
      </c>
      <c r="Q22" s="11" t="s">
        <v>28</v>
      </c>
      <c r="R22" s="11" t="s">
        <v>19</v>
      </c>
      <c r="S22" s="11" t="s">
        <v>319</v>
      </c>
      <c r="T22" s="11" t="s">
        <v>320</v>
      </c>
      <c r="U22" s="15"/>
      <c r="V22" s="11" t="s">
        <v>321</v>
      </c>
      <c r="W22" s="11" t="s">
        <v>322</v>
      </c>
      <c r="X22" s="22"/>
      <c r="Y22" s="22"/>
    </row>
    <row r="23" spans="1:25" ht="317.25" customHeight="1">
      <c r="A23" s="11" t="s">
        <v>323</v>
      </c>
      <c r="B23" s="11" t="s">
        <v>10</v>
      </c>
      <c r="C23" s="18" t="s">
        <v>324</v>
      </c>
      <c r="D23" s="11" t="s">
        <v>130</v>
      </c>
      <c r="E23" s="15" t="s">
        <v>325</v>
      </c>
      <c r="F23" s="11" t="s">
        <v>326</v>
      </c>
      <c r="G23" s="18" t="s">
        <v>327</v>
      </c>
      <c r="H23" s="18" t="s">
        <v>328</v>
      </c>
      <c r="I23" s="11" t="s">
        <v>329</v>
      </c>
      <c r="J23" s="11" t="s">
        <v>330</v>
      </c>
      <c r="K23" s="11" t="s">
        <v>11</v>
      </c>
      <c r="L23" s="13" t="s">
        <v>61</v>
      </c>
      <c r="M23" s="13" t="s">
        <v>62</v>
      </c>
      <c r="N23" s="13" t="s">
        <v>61</v>
      </c>
      <c r="O23" s="13" t="s">
        <v>62</v>
      </c>
      <c r="P23" s="11" t="s">
        <v>331</v>
      </c>
      <c r="Q23" s="11" t="s">
        <v>28</v>
      </c>
      <c r="R23" s="11" t="s">
        <v>19</v>
      </c>
      <c r="S23" s="11" t="s">
        <v>332</v>
      </c>
      <c r="T23" s="11" t="s">
        <v>333</v>
      </c>
      <c r="U23" s="11" t="s">
        <v>334</v>
      </c>
      <c r="V23" s="11" t="s">
        <v>335</v>
      </c>
      <c r="W23" s="11" t="s">
        <v>336</v>
      </c>
      <c r="X23" s="22"/>
      <c r="Y23" s="22"/>
    </row>
    <row r="24" spans="1:25" ht="386.25" customHeight="1">
      <c r="A24" s="11" t="s">
        <v>337</v>
      </c>
      <c r="B24" s="11" t="s">
        <v>10</v>
      </c>
      <c r="C24" s="11" t="s">
        <v>338</v>
      </c>
      <c r="D24" s="11" t="s">
        <v>339</v>
      </c>
      <c r="E24" s="15" t="s">
        <v>340</v>
      </c>
      <c r="F24" s="18" t="s">
        <v>341</v>
      </c>
      <c r="G24" s="11" t="s">
        <v>342</v>
      </c>
      <c r="H24" s="11" t="s">
        <v>343</v>
      </c>
      <c r="I24" s="11" t="s">
        <v>344</v>
      </c>
      <c r="J24" s="11" t="s">
        <v>345</v>
      </c>
      <c r="K24" s="11" t="s">
        <v>21</v>
      </c>
      <c r="L24" s="13" t="s">
        <v>61</v>
      </c>
      <c r="M24" s="13" t="s">
        <v>61</v>
      </c>
      <c r="N24" s="13" t="s">
        <v>62</v>
      </c>
      <c r="O24" s="13" t="s">
        <v>61</v>
      </c>
      <c r="P24" s="11" t="s">
        <v>346</v>
      </c>
      <c r="Q24" s="11" t="s">
        <v>30</v>
      </c>
      <c r="R24" s="11" t="s">
        <v>24</v>
      </c>
      <c r="S24" s="11" t="s">
        <v>347</v>
      </c>
      <c r="T24" s="11" t="s">
        <v>348</v>
      </c>
      <c r="U24" s="11" t="s">
        <v>349</v>
      </c>
      <c r="V24" s="11" t="s">
        <v>350</v>
      </c>
      <c r="W24" s="11" t="s">
        <v>351</v>
      </c>
      <c r="X24" s="22"/>
      <c r="Y24" s="22"/>
    </row>
    <row r="25" spans="1:25" ht="393.75" customHeight="1">
      <c r="A25" s="11" t="s">
        <v>352</v>
      </c>
      <c r="B25" s="11" t="s">
        <v>10</v>
      </c>
      <c r="C25" s="11" t="s">
        <v>353</v>
      </c>
      <c r="D25" s="11" t="s">
        <v>354</v>
      </c>
      <c r="E25" s="11" t="s">
        <v>355</v>
      </c>
      <c r="F25" s="18" t="s">
        <v>356</v>
      </c>
      <c r="G25" s="11" t="s">
        <v>357</v>
      </c>
      <c r="H25" s="11" t="s">
        <v>358</v>
      </c>
      <c r="I25" s="11" t="s">
        <v>359</v>
      </c>
      <c r="J25" s="11" t="s">
        <v>360</v>
      </c>
      <c r="K25" s="11"/>
      <c r="L25" s="13" t="s">
        <v>61</v>
      </c>
      <c r="M25" s="13" t="s">
        <v>61</v>
      </c>
      <c r="N25" s="13" t="s">
        <v>62</v>
      </c>
      <c r="O25" s="13" t="s">
        <v>62</v>
      </c>
      <c r="P25" s="11" t="s">
        <v>361</v>
      </c>
      <c r="Q25" s="11" t="s">
        <v>28</v>
      </c>
      <c r="R25" s="11" t="s">
        <v>14</v>
      </c>
      <c r="S25" s="11" t="s">
        <v>362</v>
      </c>
      <c r="T25" s="11" t="s">
        <v>363</v>
      </c>
      <c r="U25" s="15" t="s">
        <v>364</v>
      </c>
      <c r="V25" s="11" t="s">
        <v>365</v>
      </c>
      <c r="W25" s="11"/>
      <c r="X25" s="22"/>
      <c r="Y25" s="22"/>
    </row>
    <row r="26" spans="1:25" ht="393.75" customHeight="1">
      <c r="A26" s="11" t="s">
        <v>366</v>
      </c>
      <c r="B26" s="11" t="s">
        <v>10</v>
      </c>
      <c r="C26" s="11" t="s">
        <v>367</v>
      </c>
      <c r="D26" s="11" t="s">
        <v>368</v>
      </c>
      <c r="E26" s="19" t="s">
        <v>369</v>
      </c>
      <c r="F26" s="18" t="s">
        <v>370</v>
      </c>
      <c r="G26" s="11" t="s">
        <v>371</v>
      </c>
      <c r="H26" s="11" t="s">
        <v>372</v>
      </c>
      <c r="I26" s="11" t="s">
        <v>373</v>
      </c>
      <c r="J26" s="11" t="s">
        <v>374</v>
      </c>
      <c r="K26" s="11" t="s">
        <v>16</v>
      </c>
      <c r="L26" s="13" t="s">
        <v>61</v>
      </c>
      <c r="M26" s="13" t="s">
        <v>61</v>
      </c>
      <c r="N26" s="13" t="s">
        <v>62</v>
      </c>
      <c r="O26" s="13" t="s">
        <v>62</v>
      </c>
      <c r="P26" s="11" t="s">
        <v>375</v>
      </c>
      <c r="Q26" s="11" t="s">
        <v>23</v>
      </c>
      <c r="R26" s="11" t="s">
        <v>14</v>
      </c>
      <c r="S26" s="11" t="s">
        <v>376</v>
      </c>
      <c r="T26" s="11" t="s">
        <v>377</v>
      </c>
      <c r="U26" s="15" t="s">
        <v>378</v>
      </c>
      <c r="V26" s="11" t="s">
        <v>379</v>
      </c>
      <c r="W26" s="11" t="s">
        <v>380</v>
      </c>
      <c r="X26" s="22"/>
      <c r="Y26" s="22"/>
    </row>
    <row r="27" spans="1:25" ht="372">
      <c r="A27" s="11" t="s">
        <v>381</v>
      </c>
      <c r="B27" s="11" t="s">
        <v>10</v>
      </c>
      <c r="C27" s="11" t="s">
        <v>382</v>
      </c>
      <c r="D27" s="11" t="s">
        <v>383</v>
      </c>
      <c r="E27" s="15" t="s">
        <v>384</v>
      </c>
      <c r="F27" s="11" t="s">
        <v>385</v>
      </c>
      <c r="G27" s="11" t="s">
        <v>386</v>
      </c>
      <c r="H27" s="11" t="s">
        <v>387</v>
      </c>
      <c r="I27" s="11" t="s">
        <v>388</v>
      </c>
      <c r="J27" s="11" t="s">
        <v>389</v>
      </c>
      <c r="K27" s="11"/>
      <c r="L27" s="13" t="s">
        <v>61</v>
      </c>
      <c r="M27" s="13" t="s">
        <v>61</v>
      </c>
      <c r="N27" s="13" t="s">
        <v>62</v>
      </c>
      <c r="O27" s="13" t="s">
        <v>62</v>
      </c>
      <c r="P27" s="11" t="s">
        <v>390</v>
      </c>
      <c r="Q27" s="11" t="s">
        <v>28</v>
      </c>
      <c r="R27" s="11" t="s">
        <v>19</v>
      </c>
      <c r="S27" s="11" t="s">
        <v>391</v>
      </c>
      <c r="T27" s="11" t="s">
        <v>392</v>
      </c>
      <c r="U27" s="15" t="str">
        <f>HYPERLINK("https://www.gatech.edu","Georgia Institute of Technology") &amp; CHAR(10) &amp;
HYPERLINK("https://research.gatech.edu","Georgia Tech Research Enterprise") &amp; CHAR(10) &amp;
HYPERLINK("https://chbe.gatech.edu","School of Chemical &amp; Biomolecular Engineering") &amp; CHAR(10) &amp;
HYPERLINK("https://mse.gatech.edu","School of Materials Science &amp; Engineering") &amp; CHAR(10) &amp;
HYPERLINK("https://nre.gatech.edu","Nuclear &amp; Radiological Engineering Program") &amp; CHAR(10) &amp;
HYPERLINK("https://venturelab.gatech.edu","VentureLab (Tech Transfer)") &amp; CHAR(10) &amp;
HYPERLINK("https://international.gatech.edu","Office of International Initiatives")</f>
        <v>Georgia Institute of Technology
Georgia Tech Research Enterprise
School of Chemical &amp; Biomolecular Engineering
School of Materials Science &amp; Engineering
Nuclear &amp; Radiological Engineering Program
VentureLab (Tech Transfer)
Office of International Initiatives</v>
      </c>
      <c r="V27" s="11" t="s">
        <v>393</v>
      </c>
      <c r="W27" s="11"/>
      <c r="X27" s="22"/>
      <c r="Y27" s="22"/>
    </row>
    <row r="28" spans="1:25" ht="409.6">
      <c r="A28" s="11" t="s">
        <v>394</v>
      </c>
      <c r="B28" s="11" t="s">
        <v>10</v>
      </c>
      <c r="C28" s="11" t="s">
        <v>395</v>
      </c>
      <c r="D28" s="11" t="s">
        <v>396</v>
      </c>
      <c r="E28" s="15" t="s">
        <v>397</v>
      </c>
      <c r="F28" s="11" t="s">
        <v>398</v>
      </c>
      <c r="G28" s="11" t="s">
        <v>399</v>
      </c>
      <c r="H28" s="11" t="s">
        <v>400</v>
      </c>
      <c r="I28" s="11" t="s">
        <v>401</v>
      </c>
      <c r="J28" s="11" t="s">
        <v>402</v>
      </c>
      <c r="K28" s="11"/>
      <c r="L28" s="13" t="s">
        <v>61</v>
      </c>
      <c r="M28" s="13" t="s">
        <v>61</v>
      </c>
      <c r="N28" s="13" t="s">
        <v>62</v>
      </c>
      <c r="O28" s="13" t="s">
        <v>62</v>
      </c>
      <c r="P28" s="11" t="s">
        <v>403</v>
      </c>
      <c r="Q28" s="11" t="s">
        <v>28</v>
      </c>
      <c r="R28" s="11" t="s">
        <v>14</v>
      </c>
      <c r="S28" s="11" t="s">
        <v>404</v>
      </c>
      <c r="T28" s="11" t="s">
        <v>405</v>
      </c>
      <c r="U28" s="15" t="s">
        <v>406</v>
      </c>
      <c r="V28" s="11" t="s">
        <v>407</v>
      </c>
      <c r="W28" s="11"/>
      <c r="X28" s="22"/>
      <c r="Y28" s="22"/>
    </row>
    <row r="29" spans="1:25" ht="409.6">
      <c r="A29" s="11" t="s">
        <v>408</v>
      </c>
      <c r="B29" s="11" t="s">
        <v>10</v>
      </c>
      <c r="C29" s="11" t="s">
        <v>409</v>
      </c>
      <c r="D29" s="11" t="s">
        <v>410</v>
      </c>
      <c r="E29" s="19" t="s">
        <v>411</v>
      </c>
      <c r="F29" s="11" t="s">
        <v>412</v>
      </c>
      <c r="G29" s="11" t="s">
        <v>413</v>
      </c>
      <c r="H29" s="11" t="s">
        <v>414</v>
      </c>
      <c r="I29" s="11" t="s">
        <v>415</v>
      </c>
      <c r="J29" s="11" t="s">
        <v>416</v>
      </c>
      <c r="K29" s="11" t="s">
        <v>16</v>
      </c>
      <c r="L29" s="13" t="s">
        <v>61</v>
      </c>
      <c r="M29" s="13" t="s">
        <v>62</v>
      </c>
      <c r="N29" s="13" t="s">
        <v>62</v>
      </c>
      <c r="O29" s="13" t="s">
        <v>62</v>
      </c>
      <c r="P29" s="11" t="s">
        <v>417</v>
      </c>
      <c r="Q29" s="11" t="s">
        <v>28</v>
      </c>
      <c r="R29" s="11" t="s">
        <v>19</v>
      </c>
      <c r="S29" s="11" t="s">
        <v>418</v>
      </c>
      <c r="T29" s="11" t="s">
        <v>419</v>
      </c>
      <c r="U29" s="15" t="s">
        <v>420</v>
      </c>
      <c r="V29" s="11" t="s">
        <v>421</v>
      </c>
      <c r="W29" s="11" t="s">
        <v>422</v>
      </c>
      <c r="X29" s="22"/>
      <c r="Y29" s="22"/>
    </row>
    <row r="30" spans="1:25" ht="306">
      <c r="A30" s="11" t="s">
        <v>423</v>
      </c>
      <c r="B30" s="11" t="s">
        <v>10</v>
      </c>
      <c r="C30" s="11" t="s">
        <v>424</v>
      </c>
      <c r="D30" s="11" t="s">
        <v>425</v>
      </c>
      <c r="E30" s="19" t="s">
        <v>426</v>
      </c>
      <c r="F30" s="11" t="s">
        <v>427</v>
      </c>
      <c r="G30" s="11" t="s">
        <v>428</v>
      </c>
      <c r="H30" s="11" t="s">
        <v>429</v>
      </c>
      <c r="I30" s="11" t="s">
        <v>430</v>
      </c>
      <c r="J30" s="11" t="s">
        <v>431</v>
      </c>
      <c r="K30" s="11" t="s">
        <v>16</v>
      </c>
      <c r="L30" s="13" t="s">
        <v>61</v>
      </c>
      <c r="M30" s="13" t="s">
        <v>62</v>
      </c>
      <c r="N30" s="13" t="s">
        <v>62</v>
      </c>
      <c r="O30" s="13" t="s">
        <v>62</v>
      </c>
      <c r="P30" s="11" t="s">
        <v>432</v>
      </c>
      <c r="Q30" s="11" t="s">
        <v>28</v>
      </c>
      <c r="R30" s="11" t="s">
        <v>14</v>
      </c>
      <c r="S30" s="11" t="s">
        <v>433</v>
      </c>
      <c r="T30" s="11" t="s">
        <v>434</v>
      </c>
      <c r="U30" s="15" t="s">
        <v>435</v>
      </c>
      <c r="V30" s="11" t="s">
        <v>436</v>
      </c>
      <c r="W30" s="11" t="s">
        <v>437</v>
      </c>
      <c r="X30" s="22"/>
      <c r="Y30" s="22"/>
    </row>
    <row r="31" spans="1:25" ht="306">
      <c r="A31" s="11" t="s">
        <v>438</v>
      </c>
      <c r="B31" s="11" t="s">
        <v>10</v>
      </c>
      <c r="C31" s="11" t="s">
        <v>439</v>
      </c>
      <c r="D31" s="11" t="s">
        <v>440</v>
      </c>
      <c r="E31" s="19" t="s">
        <v>441</v>
      </c>
      <c r="F31" s="11" t="s">
        <v>442</v>
      </c>
      <c r="G31" s="11" t="s">
        <v>443</v>
      </c>
      <c r="H31" s="11" t="s">
        <v>444</v>
      </c>
      <c r="I31" s="11" t="s">
        <v>445</v>
      </c>
      <c r="J31" s="11" t="s">
        <v>446</v>
      </c>
      <c r="K31" s="11" t="s">
        <v>21</v>
      </c>
      <c r="L31" s="13" t="s">
        <v>62</v>
      </c>
      <c r="M31" s="13" t="s">
        <v>61</v>
      </c>
      <c r="N31" s="13" t="s">
        <v>61</v>
      </c>
      <c r="O31" s="13" t="s">
        <v>61</v>
      </c>
      <c r="P31" s="11" t="s">
        <v>447</v>
      </c>
      <c r="Q31" s="11" t="s">
        <v>28</v>
      </c>
      <c r="R31" s="11" t="s">
        <v>14</v>
      </c>
      <c r="S31" s="11" t="s">
        <v>448</v>
      </c>
      <c r="T31" s="11" t="s">
        <v>449</v>
      </c>
      <c r="U31" s="15" t="s">
        <v>450</v>
      </c>
      <c r="V31" s="11" t="s">
        <v>451</v>
      </c>
      <c r="W31" s="11" t="s">
        <v>452</v>
      </c>
      <c r="X31" s="22"/>
      <c r="Y31" s="22"/>
    </row>
    <row r="32" spans="1:25" ht="391.5" customHeight="1">
      <c r="A32" s="11" t="s">
        <v>453</v>
      </c>
      <c r="B32" s="11" t="s">
        <v>10</v>
      </c>
      <c r="C32" s="11" t="s">
        <v>454</v>
      </c>
      <c r="D32" s="11" t="s">
        <v>455</v>
      </c>
      <c r="E32" s="19" t="s">
        <v>456</v>
      </c>
      <c r="F32" s="18" t="s">
        <v>457</v>
      </c>
      <c r="G32" s="11" t="s">
        <v>458</v>
      </c>
      <c r="H32" s="11" t="s">
        <v>459</v>
      </c>
      <c r="I32" s="11" t="s">
        <v>460</v>
      </c>
      <c r="J32" s="11" t="s">
        <v>461</v>
      </c>
      <c r="K32" s="11" t="s">
        <v>16</v>
      </c>
      <c r="L32" s="13" t="s">
        <v>61</v>
      </c>
      <c r="M32" s="13" t="s">
        <v>62</v>
      </c>
      <c r="N32" s="13" t="s">
        <v>61</v>
      </c>
      <c r="O32" s="13" t="s">
        <v>62</v>
      </c>
      <c r="P32" s="11" t="s">
        <v>462</v>
      </c>
      <c r="Q32" s="11" t="s">
        <v>28</v>
      </c>
      <c r="R32" s="11" t="s">
        <v>19</v>
      </c>
      <c r="S32" s="11" t="s">
        <v>463</v>
      </c>
      <c r="T32" s="11" t="s">
        <v>464</v>
      </c>
      <c r="U32" s="19" t="s">
        <v>465</v>
      </c>
      <c r="V32" s="11" t="s">
        <v>466</v>
      </c>
      <c r="W32" s="11" t="s">
        <v>467</v>
      </c>
      <c r="X32" s="22"/>
      <c r="Y32" s="22"/>
    </row>
    <row r="33" spans="1:25" ht="409.6">
      <c r="A33" s="11" t="s">
        <v>468</v>
      </c>
      <c r="B33" s="11" t="s">
        <v>10</v>
      </c>
      <c r="C33" s="26" t="s">
        <v>469</v>
      </c>
      <c r="D33" s="11" t="s">
        <v>470</v>
      </c>
      <c r="E33" s="19" t="s">
        <v>471</v>
      </c>
      <c r="F33" s="11" t="s">
        <v>472</v>
      </c>
      <c r="G33" s="18" t="s">
        <v>473</v>
      </c>
      <c r="H33" s="18" t="s">
        <v>474</v>
      </c>
      <c r="I33" s="11" t="s">
        <v>475</v>
      </c>
      <c r="J33" s="11" t="s">
        <v>476</v>
      </c>
      <c r="K33" s="11" t="s">
        <v>16</v>
      </c>
      <c r="L33" s="13" t="s">
        <v>61</v>
      </c>
      <c r="M33" s="13" t="s">
        <v>61</v>
      </c>
      <c r="N33" s="13" t="s">
        <v>62</v>
      </c>
      <c r="O33" s="13" t="s">
        <v>62</v>
      </c>
      <c r="P33" s="11" t="s">
        <v>477</v>
      </c>
      <c r="Q33" s="11" t="s">
        <v>23</v>
      </c>
      <c r="R33" s="11" t="s">
        <v>14</v>
      </c>
      <c r="S33" s="11" t="s">
        <v>478</v>
      </c>
      <c r="T33" s="11" t="s">
        <v>479</v>
      </c>
      <c r="U33" s="11" t="s">
        <v>480</v>
      </c>
      <c r="V33" s="11" t="s">
        <v>481</v>
      </c>
      <c r="W33" s="11" t="s">
        <v>482</v>
      </c>
      <c r="X33" s="22"/>
      <c r="Y33" s="22"/>
    </row>
    <row r="34" spans="1:25" ht="340.5" customHeight="1">
      <c r="A34" s="11" t="s">
        <v>483</v>
      </c>
      <c r="B34" s="11" t="s">
        <v>10</v>
      </c>
      <c r="C34" s="18" t="s">
        <v>484</v>
      </c>
      <c r="D34" s="11" t="s">
        <v>485</v>
      </c>
      <c r="E34" s="19" t="s">
        <v>486</v>
      </c>
      <c r="F34" s="11" t="s">
        <v>487</v>
      </c>
      <c r="G34" s="18" t="s">
        <v>488</v>
      </c>
      <c r="H34" s="18" t="s">
        <v>489</v>
      </c>
      <c r="I34" s="11" t="s">
        <v>490</v>
      </c>
      <c r="J34" s="11" t="s">
        <v>491</v>
      </c>
      <c r="K34" s="11" t="s">
        <v>16</v>
      </c>
      <c r="L34" s="13" t="s">
        <v>61</v>
      </c>
      <c r="M34" s="13" t="s">
        <v>61</v>
      </c>
      <c r="N34" s="13" t="s">
        <v>62</v>
      </c>
      <c r="O34" s="13" t="s">
        <v>61</v>
      </c>
      <c r="P34" s="11" t="s">
        <v>492</v>
      </c>
      <c r="Q34" s="11" t="s">
        <v>28</v>
      </c>
      <c r="R34" s="11" t="s">
        <v>19</v>
      </c>
      <c r="S34" s="11" t="s">
        <v>493</v>
      </c>
      <c r="T34" s="11" t="s">
        <v>494</v>
      </c>
      <c r="U34" s="19" t="s">
        <v>495</v>
      </c>
      <c r="V34" s="11" t="s">
        <v>496</v>
      </c>
      <c r="W34" s="11" t="s">
        <v>497</v>
      </c>
      <c r="X34" s="22"/>
      <c r="Y34" s="22"/>
    </row>
    <row r="35" spans="1:25" ht="221">
      <c r="A35" s="11" t="s">
        <v>498</v>
      </c>
      <c r="B35" s="11" t="s">
        <v>10</v>
      </c>
      <c r="C35" s="11" t="s">
        <v>499</v>
      </c>
      <c r="D35" s="11" t="s">
        <v>500</v>
      </c>
      <c r="E35" s="15" t="s">
        <v>501</v>
      </c>
      <c r="F35" s="11" t="s">
        <v>502</v>
      </c>
      <c r="G35" s="11" t="s">
        <v>503</v>
      </c>
      <c r="H35" s="11" t="s">
        <v>504</v>
      </c>
      <c r="I35" s="11" t="s">
        <v>505</v>
      </c>
      <c r="J35" s="11" t="s">
        <v>506</v>
      </c>
      <c r="K35" s="11" t="s">
        <v>507</v>
      </c>
      <c r="L35" s="13" t="s">
        <v>61</v>
      </c>
      <c r="M35" s="13" t="s">
        <v>61</v>
      </c>
      <c r="N35" s="13" t="s">
        <v>62</v>
      </c>
      <c r="O35" s="13" t="s">
        <v>62</v>
      </c>
      <c r="P35" s="11" t="s">
        <v>508</v>
      </c>
      <c r="Q35" s="11" t="s">
        <v>28</v>
      </c>
      <c r="R35" s="11" t="s">
        <v>19</v>
      </c>
      <c r="S35" s="11" t="s">
        <v>509</v>
      </c>
      <c r="T35" s="11" t="s">
        <v>510</v>
      </c>
      <c r="U35" s="15" t="s">
        <v>511</v>
      </c>
      <c r="V35" s="11" t="s">
        <v>512</v>
      </c>
      <c r="W35" s="11"/>
      <c r="X35" s="22"/>
      <c r="Y35" s="22"/>
    </row>
    <row r="36" spans="1:25" ht="372">
      <c r="A36" s="11" t="s">
        <v>513</v>
      </c>
      <c r="B36" s="11" t="s">
        <v>10</v>
      </c>
      <c r="C36" s="11" t="s">
        <v>514</v>
      </c>
      <c r="D36" s="11" t="s">
        <v>515</v>
      </c>
      <c r="E36" s="15" t="s">
        <v>516</v>
      </c>
      <c r="F36" s="11" t="s">
        <v>517</v>
      </c>
      <c r="G36" s="11" t="s">
        <v>518</v>
      </c>
      <c r="H36" s="11" t="s">
        <v>519</v>
      </c>
      <c r="I36" s="11" t="s">
        <v>520</v>
      </c>
      <c r="J36" s="11" t="s">
        <v>521</v>
      </c>
      <c r="K36" s="11"/>
      <c r="L36" s="13" t="s">
        <v>61</v>
      </c>
      <c r="M36" s="13" t="s">
        <v>61</v>
      </c>
      <c r="N36" s="13" t="s">
        <v>62</v>
      </c>
      <c r="O36" s="13" t="s">
        <v>62</v>
      </c>
      <c r="P36" s="11" t="s">
        <v>522</v>
      </c>
      <c r="Q36" s="11" t="s">
        <v>28</v>
      </c>
      <c r="R36" s="11" t="s">
        <v>14</v>
      </c>
      <c r="S36" s="11" t="s">
        <v>523</v>
      </c>
      <c r="T36" s="11" t="s">
        <v>524</v>
      </c>
      <c r="U36" s="15" t="s">
        <v>525</v>
      </c>
      <c r="V36" s="11" t="s">
        <v>526</v>
      </c>
      <c r="W36" s="11"/>
      <c r="X36" s="22"/>
      <c r="Y36" s="22"/>
    </row>
    <row r="37" spans="1:25" ht="300.75" customHeight="1">
      <c r="A37" s="11" t="s">
        <v>527</v>
      </c>
      <c r="B37" s="11" t="s">
        <v>10</v>
      </c>
      <c r="C37" s="11" t="s">
        <v>528</v>
      </c>
      <c r="D37" s="11" t="s">
        <v>529</v>
      </c>
      <c r="E37" s="19" t="s">
        <v>530</v>
      </c>
      <c r="F37" s="11" t="s">
        <v>531</v>
      </c>
      <c r="G37" s="11" t="s">
        <v>532</v>
      </c>
      <c r="H37" s="11" t="s">
        <v>533</v>
      </c>
      <c r="I37" s="11" t="s">
        <v>534</v>
      </c>
      <c r="J37" s="11" t="s">
        <v>535</v>
      </c>
      <c r="K37" s="11"/>
      <c r="L37" s="13" t="s">
        <v>62</v>
      </c>
      <c r="M37" s="13" t="s">
        <v>62</v>
      </c>
      <c r="N37" s="13" t="s">
        <v>61</v>
      </c>
      <c r="O37" s="13" t="s">
        <v>61</v>
      </c>
      <c r="P37" s="11" t="s">
        <v>536</v>
      </c>
      <c r="Q37" s="11" t="s">
        <v>28</v>
      </c>
      <c r="R37" s="11" t="s">
        <v>14</v>
      </c>
      <c r="S37" s="11" t="s">
        <v>537</v>
      </c>
      <c r="T37" s="11" t="s">
        <v>538</v>
      </c>
      <c r="U37" s="15" t="s">
        <v>539</v>
      </c>
      <c r="V37" s="11" t="s">
        <v>540</v>
      </c>
      <c r="W37" s="11" t="s">
        <v>541</v>
      </c>
      <c r="X37" s="22"/>
      <c r="Y37" s="22"/>
    </row>
    <row r="38" spans="1:25" ht="308.25" customHeight="1">
      <c r="A38" s="11" t="s">
        <v>542</v>
      </c>
      <c r="B38" s="11" t="s">
        <v>10</v>
      </c>
      <c r="C38" s="11" t="s">
        <v>543</v>
      </c>
      <c r="D38" s="11" t="s">
        <v>544</v>
      </c>
      <c r="E38" s="19" t="s">
        <v>545</v>
      </c>
      <c r="F38" s="11" t="s">
        <v>546</v>
      </c>
      <c r="G38" s="11" t="s">
        <v>547</v>
      </c>
      <c r="H38" s="11" t="s">
        <v>548</v>
      </c>
      <c r="I38" s="11" t="s">
        <v>549</v>
      </c>
      <c r="J38" s="11" t="s">
        <v>550</v>
      </c>
      <c r="K38" s="11"/>
      <c r="L38" s="13" t="s">
        <v>62</v>
      </c>
      <c r="M38" s="13" t="s">
        <v>61</v>
      </c>
      <c r="N38" s="13" t="s">
        <v>62</v>
      </c>
      <c r="O38" s="13" t="s">
        <v>61</v>
      </c>
      <c r="P38" s="11" t="s">
        <v>551</v>
      </c>
      <c r="Q38" s="12">
        <v>4</v>
      </c>
      <c r="R38" s="11" t="s">
        <v>14</v>
      </c>
      <c r="S38" s="11" t="s">
        <v>552</v>
      </c>
      <c r="T38" s="11" t="s">
        <v>553</v>
      </c>
      <c r="U38" s="15" t="s">
        <v>554</v>
      </c>
      <c r="V38" s="11" t="s">
        <v>555</v>
      </c>
      <c r="W38" s="11" t="s">
        <v>556</v>
      </c>
      <c r="X38" s="22"/>
      <c r="Y38" s="22"/>
    </row>
    <row r="39" spans="1:25" ht="272">
      <c r="A39" s="11" t="s">
        <v>557</v>
      </c>
      <c r="B39" s="11" t="s">
        <v>10</v>
      </c>
      <c r="C39" s="11" t="s">
        <v>558</v>
      </c>
      <c r="D39" s="11" t="s">
        <v>559</v>
      </c>
      <c r="E39" s="19" t="s">
        <v>560</v>
      </c>
      <c r="F39" s="11" t="s">
        <v>561</v>
      </c>
      <c r="G39" s="11" t="s">
        <v>562</v>
      </c>
      <c r="H39" s="11" t="s">
        <v>563</v>
      </c>
      <c r="I39" s="11" t="s">
        <v>564</v>
      </c>
      <c r="J39" s="11" t="s">
        <v>565</v>
      </c>
      <c r="K39" s="11"/>
      <c r="L39" s="13" t="s">
        <v>62</v>
      </c>
      <c r="M39" s="13" t="s">
        <v>62</v>
      </c>
      <c r="N39" s="13" t="s">
        <v>61</v>
      </c>
      <c r="O39" s="13" t="s">
        <v>62</v>
      </c>
      <c r="P39" s="11" t="s">
        <v>566</v>
      </c>
      <c r="Q39" s="11" t="s">
        <v>28</v>
      </c>
      <c r="R39" s="11" t="s">
        <v>14</v>
      </c>
      <c r="S39" s="11" t="s">
        <v>567</v>
      </c>
      <c r="T39" s="11" t="s">
        <v>568</v>
      </c>
      <c r="U39" s="19" t="s">
        <v>569</v>
      </c>
      <c r="V39" s="11" t="s">
        <v>570</v>
      </c>
      <c r="W39" s="11" t="s">
        <v>571</v>
      </c>
      <c r="X39" s="22"/>
      <c r="Y39" s="22"/>
    </row>
    <row r="40" spans="1:25" ht="255">
      <c r="A40" s="11" t="s">
        <v>572</v>
      </c>
      <c r="B40" s="11" t="s">
        <v>10</v>
      </c>
      <c r="C40" s="11" t="s">
        <v>573</v>
      </c>
      <c r="D40" s="11" t="s">
        <v>574</v>
      </c>
      <c r="E40" s="19" t="s">
        <v>575</v>
      </c>
      <c r="F40" s="11" t="s">
        <v>576</v>
      </c>
      <c r="G40" s="11" t="s">
        <v>577</v>
      </c>
      <c r="H40" s="11" t="s">
        <v>578</v>
      </c>
      <c r="I40" s="11" t="s">
        <v>579</v>
      </c>
      <c r="J40" s="11" t="s">
        <v>580</v>
      </c>
      <c r="K40" s="11"/>
      <c r="L40" s="13" t="s">
        <v>61</v>
      </c>
      <c r="M40" s="13" t="s">
        <v>62</v>
      </c>
      <c r="N40" s="13" t="s">
        <v>62</v>
      </c>
      <c r="O40" s="13" t="s">
        <v>62</v>
      </c>
      <c r="P40" s="11" t="s">
        <v>581</v>
      </c>
      <c r="Q40" s="11" t="s">
        <v>28</v>
      </c>
      <c r="R40" s="11" t="s">
        <v>14</v>
      </c>
      <c r="S40" s="11" t="s">
        <v>582</v>
      </c>
      <c r="T40" s="11" t="s">
        <v>583</v>
      </c>
      <c r="U40" s="15" t="s">
        <v>584</v>
      </c>
      <c r="V40" s="11" t="s">
        <v>585</v>
      </c>
      <c r="W40" s="11" t="s">
        <v>586</v>
      </c>
      <c r="X40" s="22"/>
      <c r="Y40" s="22"/>
    </row>
    <row r="41" spans="1:25" ht="409.6">
      <c r="A41" s="23" t="s">
        <v>587</v>
      </c>
      <c r="B41" s="11" t="s">
        <v>10</v>
      </c>
      <c r="C41" s="11" t="s">
        <v>588</v>
      </c>
      <c r="D41" s="11" t="s">
        <v>589</v>
      </c>
      <c r="E41" s="19" t="s">
        <v>590</v>
      </c>
      <c r="F41" s="11" t="s">
        <v>591</v>
      </c>
      <c r="G41" s="11" t="s">
        <v>592</v>
      </c>
      <c r="H41" s="11" t="s">
        <v>593</v>
      </c>
      <c r="I41" s="11" t="s">
        <v>594</v>
      </c>
      <c r="J41" s="11" t="s">
        <v>595</v>
      </c>
      <c r="K41" s="11"/>
      <c r="L41" s="13" t="s">
        <v>61</v>
      </c>
      <c r="M41" s="13" t="s">
        <v>61</v>
      </c>
      <c r="N41" s="13" t="s">
        <v>62</v>
      </c>
      <c r="O41" s="13" t="s">
        <v>62</v>
      </c>
      <c r="P41" s="11" t="s">
        <v>596</v>
      </c>
      <c r="Q41" s="11" t="s">
        <v>28</v>
      </c>
      <c r="R41" s="11" t="s">
        <v>19</v>
      </c>
      <c r="S41" s="11" t="s">
        <v>597</v>
      </c>
      <c r="T41" s="11" t="s">
        <v>598</v>
      </c>
      <c r="U41" s="15" t="s">
        <v>599</v>
      </c>
      <c r="V41" s="11" t="s">
        <v>600</v>
      </c>
      <c r="W41" s="11" t="s">
        <v>601</v>
      </c>
      <c r="X41" s="22"/>
      <c r="Y41" s="22"/>
    </row>
    <row r="42" spans="1:25" ht="388">
      <c r="A42" s="27" t="s">
        <v>602</v>
      </c>
      <c r="B42" s="11" t="s">
        <v>10</v>
      </c>
      <c r="C42" s="11" t="s">
        <v>603</v>
      </c>
      <c r="D42" s="11" t="s">
        <v>604</v>
      </c>
      <c r="E42" s="19" t="s">
        <v>605</v>
      </c>
      <c r="F42" s="11" t="s">
        <v>606</v>
      </c>
      <c r="G42" s="11" t="s">
        <v>607</v>
      </c>
      <c r="H42" s="11" t="s">
        <v>608</v>
      </c>
      <c r="I42" s="11" t="s">
        <v>609</v>
      </c>
      <c r="J42" s="11" t="s">
        <v>610</v>
      </c>
      <c r="K42" s="11"/>
      <c r="L42" s="13" t="s">
        <v>61</v>
      </c>
      <c r="M42" s="13" t="s">
        <v>61</v>
      </c>
      <c r="N42" s="13" t="s">
        <v>62</v>
      </c>
      <c r="O42" s="13" t="s">
        <v>62</v>
      </c>
      <c r="P42" s="11" t="s">
        <v>611</v>
      </c>
      <c r="Q42" s="11" t="s">
        <v>28</v>
      </c>
      <c r="R42" s="11" t="s">
        <v>19</v>
      </c>
      <c r="S42" s="11" t="s">
        <v>612</v>
      </c>
      <c r="T42" s="11" t="s">
        <v>613</v>
      </c>
      <c r="U42" s="15" t="s">
        <v>614</v>
      </c>
      <c r="V42" s="11" t="s">
        <v>615</v>
      </c>
      <c r="W42" s="11" t="s">
        <v>616</v>
      </c>
      <c r="X42" s="22"/>
      <c r="Y42" s="22"/>
    </row>
    <row r="43" spans="1:25" ht="409.6">
      <c r="A43" s="11" t="s">
        <v>617</v>
      </c>
      <c r="B43" s="11" t="s">
        <v>10</v>
      </c>
      <c r="C43" s="11" t="s">
        <v>618</v>
      </c>
      <c r="D43" s="11" t="s">
        <v>619</v>
      </c>
      <c r="E43" s="19" t="s">
        <v>620</v>
      </c>
      <c r="F43" s="11" t="s">
        <v>621</v>
      </c>
      <c r="G43" s="11" t="s">
        <v>622</v>
      </c>
      <c r="H43" s="11" t="s">
        <v>623</v>
      </c>
      <c r="I43" s="11" t="s">
        <v>624</v>
      </c>
      <c r="J43" s="11" t="s">
        <v>625</v>
      </c>
      <c r="K43" s="11"/>
      <c r="L43" s="13" t="s">
        <v>61</v>
      </c>
      <c r="M43" s="13" t="s">
        <v>61</v>
      </c>
      <c r="N43" s="13" t="s">
        <v>62</v>
      </c>
      <c r="O43" s="13" t="s">
        <v>62</v>
      </c>
      <c r="P43" s="11" t="s">
        <v>626</v>
      </c>
      <c r="Q43" s="11" t="s">
        <v>28</v>
      </c>
      <c r="R43" s="11" t="s">
        <v>19</v>
      </c>
      <c r="S43" s="11" t="s">
        <v>627</v>
      </c>
      <c r="T43" s="11" t="s">
        <v>628</v>
      </c>
      <c r="U43" s="15" t="s">
        <v>629</v>
      </c>
      <c r="V43" s="11" t="s">
        <v>630</v>
      </c>
      <c r="W43" s="11" t="s">
        <v>631</v>
      </c>
      <c r="X43" s="22"/>
      <c r="Y43" s="22"/>
    </row>
    <row r="44" spans="1:25" ht="409.6">
      <c r="A44" s="11" t="s">
        <v>632</v>
      </c>
      <c r="B44" s="11" t="s">
        <v>10</v>
      </c>
      <c r="C44" s="11" t="s">
        <v>633</v>
      </c>
      <c r="D44" s="11" t="s">
        <v>634</v>
      </c>
      <c r="E44" s="19" t="s">
        <v>635</v>
      </c>
      <c r="F44" s="11" t="s">
        <v>636</v>
      </c>
      <c r="G44" s="11" t="s">
        <v>637</v>
      </c>
      <c r="H44" s="11" t="s">
        <v>638</v>
      </c>
      <c r="I44" s="11" t="s">
        <v>639</v>
      </c>
      <c r="J44" s="11" t="s">
        <v>640</v>
      </c>
      <c r="K44" s="11"/>
      <c r="L44" s="13" t="s">
        <v>61</v>
      </c>
      <c r="M44" s="13" t="s">
        <v>61</v>
      </c>
      <c r="N44" s="13" t="s">
        <v>62</v>
      </c>
      <c r="O44" s="13" t="s">
        <v>62</v>
      </c>
      <c r="P44" s="11" t="s">
        <v>641</v>
      </c>
      <c r="Q44" s="11" t="s">
        <v>28</v>
      </c>
      <c r="R44" s="11" t="s">
        <v>19</v>
      </c>
      <c r="S44" s="11" t="s">
        <v>642</v>
      </c>
      <c r="T44" s="11" t="s">
        <v>643</v>
      </c>
      <c r="U44" s="15" t="s">
        <v>644</v>
      </c>
      <c r="V44" s="11" t="s">
        <v>645</v>
      </c>
      <c r="W44" s="11" t="s">
        <v>646</v>
      </c>
      <c r="X44" s="22"/>
      <c r="Y44" s="22"/>
    </row>
    <row r="45" spans="1:25" ht="409.6">
      <c r="A45" s="11" t="s">
        <v>647</v>
      </c>
      <c r="B45" s="11" t="s">
        <v>10</v>
      </c>
      <c r="C45" s="11" t="s">
        <v>648</v>
      </c>
      <c r="D45" s="11" t="s">
        <v>649</v>
      </c>
      <c r="E45" s="19" t="s">
        <v>650</v>
      </c>
      <c r="F45" s="11" t="s">
        <v>651</v>
      </c>
      <c r="G45" s="11" t="s">
        <v>652</v>
      </c>
      <c r="H45" s="11" t="s">
        <v>653</v>
      </c>
      <c r="I45" s="11" t="s">
        <v>654</v>
      </c>
      <c r="J45" s="11" t="s">
        <v>655</v>
      </c>
      <c r="K45" s="11"/>
      <c r="L45" s="13" t="s">
        <v>61</v>
      </c>
      <c r="M45" s="13" t="s">
        <v>61</v>
      </c>
      <c r="N45" s="13" t="s">
        <v>62</v>
      </c>
      <c r="O45" s="13" t="s">
        <v>62</v>
      </c>
      <c r="P45" s="11" t="s">
        <v>656</v>
      </c>
      <c r="Q45" s="11" t="s">
        <v>28</v>
      </c>
      <c r="R45" s="11" t="s">
        <v>19</v>
      </c>
      <c r="S45" s="11" t="s">
        <v>657</v>
      </c>
      <c r="T45" s="11" t="s">
        <v>658</v>
      </c>
      <c r="U45" s="15" t="s">
        <v>659</v>
      </c>
      <c r="V45" s="11" t="s">
        <v>660</v>
      </c>
      <c r="W45" s="11" t="s">
        <v>661</v>
      </c>
      <c r="X45" s="22"/>
      <c r="Y45" s="22"/>
    </row>
    <row r="46" spans="1:25" s="22" customFormat="1" ht="409.6">
      <c r="A46" s="11" t="s">
        <v>662</v>
      </c>
      <c r="B46" s="11" t="s">
        <v>10</v>
      </c>
      <c r="C46" s="11" t="s">
        <v>663</v>
      </c>
      <c r="D46" s="11" t="s">
        <v>664</v>
      </c>
      <c r="E46" s="15" t="s">
        <v>665</v>
      </c>
      <c r="F46" s="11" t="s">
        <v>666</v>
      </c>
      <c r="G46" s="11" t="s">
        <v>667</v>
      </c>
      <c r="H46" s="11" t="s">
        <v>668</v>
      </c>
      <c r="I46" s="11" t="s">
        <v>669</v>
      </c>
      <c r="J46" s="11" t="s">
        <v>670</v>
      </c>
      <c r="K46" s="11"/>
      <c r="L46" s="13" t="s">
        <v>62</v>
      </c>
      <c r="M46" s="13" t="s">
        <v>62</v>
      </c>
      <c r="N46" s="13" t="s">
        <v>62</v>
      </c>
      <c r="O46" s="13" t="s">
        <v>62</v>
      </c>
      <c r="P46" s="11" t="s">
        <v>671</v>
      </c>
      <c r="Q46" s="11" t="s">
        <v>23</v>
      </c>
      <c r="R46" s="11" t="s">
        <v>14</v>
      </c>
      <c r="S46" s="11" t="s">
        <v>672</v>
      </c>
      <c r="T46" s="11" t="s">
        <v>673</v>
      </c>
      <c r="U46" s="15" t="s">
        <v>674</v>
      </c>
      <c r="V46" s="11" t="s">
        <v>675</v>
      </c>
      <c r="W46" s="11"/>
    </row>
    <row r="47" spans="1:25" s="22" customFormat="1" ht="17">
      <c r="A47" s="11" t="s">
        <v>676</v>
      </c>
      <c r="B47" s="11"/>
      <c r="C47" s="11"/>
      <c r="D47" s="11"/>
      <c r="E47" s="15"/>
      <c r="F47" s="11"/>
      <c r="G47" s="11"/>
      <c r="H47" s="11"/>
      <c r="I47" s="11"/>
      <c r="J47" s="11"/>
      <c r="K47" s="11"/>
      <c r="L47" s="13"/>
      <c r="M47" s="13"/>
      <c r="N47" s="13"/>
      <c r="O47" s="13"/>
      <c r="P47" s="11"/>
      <c r="Q47" s="11"/>
      <c r="R47" s="11"/>
      <c r="S47" s="11"/>
      <c r="T47" s="11"/>
      <c r="U47" s="15"/>
      <c r="V47" s="11"/>
      <c r="W47" s="11"/>
    </row>
    <row r="48" spans="1:25" ht="356">
      <c r="A48" s="11" t="s">
        <v>677</v>
      </c>
      <c r="B48" s="11" t="s">
        <v>10</v>
      </c>
      <c r="C48" s="11" t="s">
        <v>678</v>
      </c>
      <c r="D48" s="11" t="s">
        <v>679</v>
      </c>
      <c r="E48" s="19" t="s">
        <v>680</v>
      </c>
      <c r="F48" s="11" t="s">
        <v>681</v>
      </c>
      <c r="G48" s="11" t="s">
        <v>682</v>
      </c>
      <c r="H48" s="11" t="s">
        <v>683</v>
      </c>
      <c r="I48" s="11" t="s">
        <v>684</v>
      </c>
      <c r="J48" s="11" t="s">
        <v>685</v>
      </c>
      <c r="K48" s="11"/>
      <c r="L48" s="13" t="s">
        <v>61</v>
      </c>
      <c r="M48" s="13" t="s">
        <v>61</v>
      </c>
      <c r="N48" s="13" t="s">
        <v>62</v>
      </c>
      <c r="O48" s="13" t="s">
        <v>62</v>
      </c>
      <c r="P48" s="11" t="s">
        <v>686</v>
      </c>
      <c r="Q48" s="11" t="s">
        <v>28</v>
      </c>
      <c r="R48" s="11" t="s">
        <v>19</v>
      </c>
      <c r="S48" s="11" t="s">
        <v>687</v>
      </c>
      <c r="T48" s="11" t="s">
        <v>688</v>
      </c>
      <c r="U48" s="15" t="s">
        <v>689</v>
      </c>
      <c r="V48" s="11" t="s">
        <v>690</v>
      </c>
      <c r="W48" s="11" t="s">
        <v>691</v>
      </c>
      <c r="X48" s="22"/>
      <c r="Y48" s="22"/>
    </row>
    <row r="49" spans="1:25" ht="43.5" customHeight="1">
      <c r="A49" s="28" t="s">
        <v>692</v>
      </c>
      <c r="B49" s="23"/>
      <c r="C49" s="23"/>
      <c r="D49" s="23"/>
      <c r="E49" s="23"/>
      <c r="F49" s="23"/>
      <c r="G49" s="23"/>
      <c r="H49" s="23"/>
      <c r="I49" s="23"/>
      <c r="J49" s="23"/>
      <c r="K49" s="23"/>
      <c r="L49" s="13"/>
      <c r="M49" s="13"/>
      <c r="N49" s="13"/>
      <c r="O49" s="13"/>
      <c r="P49" s="23"/>
      <c r="Q49" s="23"/>
      <c r="R49" s="23"/>
      <c r="S49" s="23"/>
      <c r="T49" s="23"/>
      <c r="U49" s="23"/>
      <c r="V49" s="23"/>
      <c r="W49" s="22"/>
      <c r="X49" s="22"/>
      <c r="Y49" s="22"/>
    </row>
    <row r="50" spans="1:25" ht="204">
      <c r="A50" s="11" t="s">
        <v>693</v>
      </c>
      <c r="B50" s="23" t="s">
        <v>10</v>
      </c>
      <c r="C50" s="11" t="s">
        <v>694</v>
      </c>
      <c r="D50" s="11" t="s">
        <v>695</v>
      </c>
      <c r="E50" s="24" t="s">
        <v>696</v>
      </c>
      <c r="F50" s="11" t="s">
        <v>697</v>
      </c>
      <c r="G50" s="11" t="s">
        <v>698</v>
      </c>
      <c r="H50" s="11" t="s">
        <v>699</v>
      </c>
      <c r="I50" s="11" t="s">
        <v>700</v>
      </c>
      <c r="J50" s="22"/>
      <c r="K50" s="22"/>
      <c r="L50" s="22"/>
      <c r="M50" s="22"/>
      <c r="N50" s="22"/>
      <c r="O50" s="22"/>
      <c r="P50" s="29" t="s">
        <v>701</v>
      </c>
      <c r="Q50" s="22" t="s">
        <v>30</v>
      </c>
      <c r="R50" s="22"/>
      <c r="S50" s="22"/>
      <c r="T50" s="22"/>
      <c r="U50" s="22"/>
      <c r="V50" s="22"/>
      <c r="W50" s="11" t="s">
        <v>702</v>
      </c>
      <c r="X50" s="22"/>
      <c r="Y50" s="22"/>
    </row>
    <row r="51" spans="1:25" ht="255">
      <c r="A51" s="11" t="s">
        <v>703</v>
      </c>
      <c r="B51" s="23" t="s">
        <v>10</v>
      </c>
      <c r="C51" s="11" t="s">
        <v>704</v>
      </c>
      <c r="D51" s="11" t="s">
        <v>705</v>
      </c>
      <c r="E51" s="24" t="s">
        <v>706</v>
      </c>
      <c r="F51" s="16" t="s">
        <v>707</v>
      </c>
      <c r="G51" s="16" t="s">
        <v>708</v>
      </c>
      <c r="H51" s="16" t="s">
        <v>709</v>
      </c>
      <c r="I51" s="16" t="s">
        <v>710</v>
      </c>
      <c r="J51" s="16" t="s">
        <v>711</v>
      </c>
      <c r="K51" s="23"/>
      <c r="L51" s="13" t="s">
        <v>61</v>
      </c>
      <c r="M51" s="13" t="s">
        <v>61</v>
      </c>
      <c r="N51" s="13" t="s">
        <v>62</v>
      </c>
      <c r="O51" s="13" t="s">
        <v>62</v>
      </c>
      <c r="P51" s="16" t="s">
        <v>712</v>
      </c>
      <c r="Q51" s="23" t="s">
        <v>30</v>
      </c>
      <c r="R51" s="23" t="s">
        <v>19</v>
      </c>
      <c r="S51" s="23"/>
      <c r="T51" s="16" t="s">
        <v>713</v>
      </c>
      <c r="U51" s="15" t="str">
        <f>HYPERLINK("https://registrar.fsu.edu/bulletin/undergraduate-departments/eoas","FSU – EOAS Dept") &amp; CHAR(10) &amp;
HYPERLINK("https://www.eoas.fsu.edu/wp-content/documents/people/emeritus/Burnett_CV.pdf","Burnett CV/Background") &amp; CHAR(10) &amp;
HYPERLINK("https://pubmed.ncbi.nlm.nih.gov/11379072","FSU PG Radionuclide Publication") &amp; CHAR(10) &amp;
HYPERLINK("https://science.osti.gov/-/media/bes/efrc/pdf/overviews/CAST_overview_2020-09.pdf","CAST Overview (DOE)") &amp; CHAR(10) &amp;
HYPERLINK("https://artsandsciences.fsu.edu/article/fsu-receives-11-million-extension-department-energy-nuclear-research-center","FSU CAST Context")</f>
        <v>FSU – EOAS Dept
Burnett CV/Background
FSU PG Radionuclide Publication
CAST Overview (DOE)
FSU CAST Context</v>
      </c>
      <c r="V51" s="11" t="s">
        <v>714</v>
      </c>
      <c r="W51" s="22"/>
      <c r="X51" s="22"/>
      <c r="Y51" s="22"/>
    </row>
    <row r="52" spans="1:25" ht="315" customHeight="1">
      <c r="A52" s="11" t="s">
        <v>715</v>
      </c>
      <c r="B52" s="23" t="s">
        <v>10</v>
      </c>
      <c r="C52" s="11" t="s">
        <v>716</v>
      </c>
      <c r="D52" s="11" t="s">
        <v>717</v>
      </c>
      <c r="E52" s="30" t="s">
        <v>718</v>
      </c>
      <c r="F52" s="31"/>
      <c r="G52" s="16" t="s">
        <v>719</v>
      </c>
      <c r="H52" s="16" t="s">
        <v>720</v>
      </c>
      <c r="I52" s="16" t="s">
        <v>721</v>
      </c>
      <c r="J52" s="16" t="s">
        <v>722</v>
      </c>
      <c r="K52" s="23"/>
      <c r="L52" s="13" t="s">
        <v>62</v>
      </c>
      <c r="M52" s="13" t="s">
        <v>61</v>
      </c>
      <c r="N52" s="13" t="s">
        <v>61</v>
      </c>
      <c r="O52" s="13" t="s">
        <v>62</v>
      </c>
      <c r="P52" s="16" t="s">
        <v>723</v>
      </c>
      <c r="Q52" s="23" t="s">
        <v>30</v>
      </c>
      <c r="R52" s="23" t="s">
        <v>14</v>
      </c>
      <c r="S52" s="23"/>
      <c r="T52" s="16" t="s">
        <v>724</v>
      </c>
      <c r="U52" s="32" t="str">
        <f>HYPERLINK("https://faculty.eng.ufl.edu/timothy-townsend/","UF – Sustainable Materials Management Lab (Townsend)") &amp; CHAR(10) &amp;
HYPERLINK("https://faculty.eng.ufl.edu/timothy-townsend/publications/","UF – Townsend Publications") &amp; CHAR(10) &amp;
HYPERLINK("https://www.eng.ufl.edu/facilities/hwcoe-buildings-information/hwcoe-building-directory/name/sustainable-materials-management-research-lab-east/","UF – Sustainable Materials Management Research Lab") &amp; CHAR(10) &amp;
HYPERLINK("https://ufdcimages.uflib.ufl.edu/UF/E0/04/30/79/00001/mostary_s.pdf","UF – Phosphogypsum leachability study (example)") &amp; CHAR(10) &amp;
HYPERLINK("https://scholars.ufl.edu/slaux/publications","UF – Steven Laux / PG &amp; materials management publications")</f>
        <v>UF – Sustainable Materials Management Lab (Townsend)
UF – Townsend Publications
UF – Sustainable Materials Management Research Lab
UF – Phosphogypsum leachability study (example)
UF – Steven Laux / PG &amp; materials management publications</v>
      </c>
      <c r="V52" s="11" t="s">
        <v>725</v>
      </c>
      <c r="W52" s="22"/>
      <c r="X52" s="22"/>
      <c r="Y52" s="22"/>
    </row>
    <row r="53" spans="1:25" ht="16">
      <c r="A53" s="23"/>
      <c r="B53" s="23"/>
      <c r="C53" s="23"/>
      <c r="D53" s="23"/>
      <c r="E53" s="23"/>
      <c r="F53" s="23"/>
      <c r="G53" s="23"/>
      <c r="H53" s="23"/>
      <c r="I53" s="23"/>
      <c r="J53" s="23"/>
      <c r="K53" s="23"/>
      <c r="L53" s="13"/>
      <c r="M53" s="13"/>
      <c r="N53" s="13"/>
      <c r="O53" s="13"/>
      <c r="P53" s="23"/>
      <c r="Q53" s="23"/>
      <c r="R53" s="23"/>
      <c r="S53" s="23"/>
      <c r="T53" s="23"/>
      <c r="U53" s="23"/>
      <c r="V53" s="23"/>
      <c r="W53" s="22"/>
      <c r="X53" s="22"/>
      <c r="Y53" s="22"/>
    </row>
    <row r="54" spans="1:25" ht="40">
      <c r="A54" s="33" t="s">
        <v>726</v>
      </c>
      <c r="B54" s="23"/>
      <c r="C54" s="23"/>
      <c r="D54" s="23"/>
      <c r="E54" s="23"/>
      <c r="F54" s="23"/>
      <c r="G54" s="23"/>
      <c r="H54" s="23"/>
      <c r="I54" s="23"/>
      <c r="J54" s="23"/>
      <c r="K54" s="23"/>
      <c r="L54" s="13"/>
      <c r="M54" s="13"/>
      <c r="N54" s="13"/>
      <c r="O54" s="13"/>
      <c r="P54" s="23"/>
      <c r="Q54" s="23"/>
      <c r="R54" s="23"/>
      <c r="S54" s="23"/>
      <c r="T54" s="23"/>
      <c r="U54" s="23"/>
      <c r="V54" s="23"/>
      <c r="W54" s="22"/>
      <c r="X54" s="22"/>
      <c r="Y54" s="22"/>
    </row>
    <row r="55" spans="1:25" ht="356">
      <c r="A55" s="11" t="s">
        <v>727</v>
      </c>
      <c r="B55" s="23" t="s">
        <v>10</v>
      </c>
      <c r="C55" s="13" t="s">
        <v>728</v>
      </c>
      <c r="D55" s="23" t="s">
        <v>729</v>
      </c>
      <c r="E55" s="24" t="s">
        <v>730</v>
      </c>
      <c r="F55" s="11" t="s">
        <v>731</v>
      </c>
      <c r="G55" s="11" t="s">
        <v>732</v>
      </c>
      <c r="H55" s="11" t="s">
        <v>733</v>
      </c>
      <c r="I55" s="11" t="s">
        <v>734</v>
      </c>
      <c r="J55" s="11" t="s">
        <v>735</v>
      </c>
      <c r="K55" s="23"/>
      <c r="L55" s="13" t="s">
        <v>61</v>
      </c>
      <c r="M55" s="13" t="s">
        <v>61</v>
      </c>
      <c r="N55" s="13" t="s">
        <v>61</v>
      </c>
      <c r="O55" s="13" t="s">
        <v>62</v>
      </c>
      <c r="P55" s="11" t="s">
        <v>736</v>
      </c>
      <c r="Q55" s="23" t="s">
        <v>30</v>
      </c>
      <c r="R55" s="23" t="s">
        <v>19</v>
      </c>
      <c r="S55" s="23"/>
      <c r="T55" s="11" t="s">
        <v>737</v>
      </c>
      <c r="U55" s="15" t="str">
        <f>HYPERLINK("https://www.c2m.psu.edu/","Penn State – Center for Critical Minerals (C²M)") &amp; CHAR(10) &amp;
HYPERLINK("https://pure.psu.edu/en/projects/national-science-foundation-award-232/","Penn State – NSF Award/Project (PG digestion → electrodialysis → peptide membranes)") &amp; CHAR(10) &amp;
HYPERLINK("https://www.psu.edu/news/engineering/story/engineers-sustainably-mine-rare-earth-elements-fertilizer-byproduct","Penn State Engineering – NSF PG project announcement (Greenlee/Shi)") &amp; CHAR(10) &amp;
HYPERLINK("https://www.psu.edu/news/earth-and-mineral-sciences/story/penn-states-center-critical-minerals-receive-21m-pilot-program","Penn State News – C²M $2.1M modular pilot-scale R&amp;D unit") &amp; CHAR(10) &amp;
HYPERLINK("https://pmc.ncbi.nlm.nih.gov/articles/PMC12461911/","Publication – TEA/LCA sustainability assessment for REE recovery from phosphogypsum (Smerigan et al.)")</f>
        <v>Penn State – Center for Critical Minerals (C²M)
Penn State – NSF Award/Project (PG digestion → electrodialysis → peptide membranes)
Penn State Engineering – NSF PG project announcement (Greenlee/Shi)
Penn State News – C²M $2.1M modular pilot-scale R&amp;D unit
Publication – TEA/LCA sustainability assessment for REE recovery from phosphogypsum (Smerigan et al.)</v>
      </c>
      <c r="V55" s="11" t="s">
        <v>738</v>
      </c>
      <c r="W55" s="22"/>
      <c r="X55" s="22"/>
      <c r="Y55" s="22"/>
    </row>
    <row r="56" spans="1:25" ht="289">
      <c r="A56" s="11" t="s">
        <v>739</v>
      </c>
      <c r="B56" s="23" t="s">
        <v>10</v>
      </c>
      <c r="C56" s="13" t="s">
        <v>740</v>
      </c>
      <c r="D56" s="23" t="s">
        <v>741</v>
      </c>
      <c r="E56" s="15" t="s">
        <v>742</v>
      </c>
      <c r="F56" s="11" t="s">
        <v>743</v>
      </c>
      <c r="G56" s="23"/>
      <c r="H56" s="11" t="s">
        <v>744</v>
      </c>
      <c r="I56" s="11" t="s">
        <v>745</v>
      </c>
      <c r="J56" s="23"/>
      <c r="K56" s="23"/>
      <c r="L56" s="13"/>
      <c r="M56" s="13"/>
      <c r="N56" s="13"/>
      <c r="O56" s="13"/>
      <c r="P56" s="23"/>
      <c r="Q56" s="23"/>
      <c r="R56" s="23"/>
      <c r="S56" s="23"/>
      <c r="T56" s="23"/>
      <c r="U56" s="23"/>
      <c r="V56" s="11" t="s">
        <v>746</v>
      </c>
      <c r="W56" s="22"/>
      <c r="X56" s="22"/>
      <c r="Y56" s="22"/>
    </row>
    <row r="57" spans="1:25" ht="388">
      <c r="A57" s="11" t="s">
        <v>747</v>
      </c>
      <c r="B57" s="23" t="s">
        <v>10</v>
      </c>
      <c r="C57" s="11" t="s">
        <v>748</v>
      </c>
      <c r="D57" s="11" t="s">
        <v>749</v>
      </c>
      <c r="E57" s="34" t="s">
        <v>750</v>
      </c>
      <c r="F57" s="16" t="s">
        <v>751</v>
      </c>
      <c r="G57" s="16" t="s">
        <v>752</v>
      </c>
      <c r="H57" s="16" t="s">
        <v>753</v>
      </c>
      <c r="I57" s="16" t="s">
        <v>754</v>
      </c>
      <c r="J57" s="16" t="s">
        <v>755</v>
      </c>
      <c r="K57" s="23"/>
      <c r="L57" s="13" t="s">
        <v>61</v>
      </c>
      <c r="M57" s="13" t="s">
        <v>61</v>
      </c>
      <c r="N57" s="13" t="s">
        <v>61</v>
      </c>
      <c r="O57" s="13" t="s">
        <v>62</v>
      </c>
      <c r="P57" s="16" t="s">
        <v>756</v>
      </c>
      <c r="Q57" s="23" t="s">
        <v>28</v>
      </c>
      <c r="R57" s="23" t="s">
        <v>19</v>
      </c>
      <c r="S57" s="23"/>
      <c r="T57" s="16" t="s">
        <v>757</v>
      </c>
      <c r="U57" s="32" t="str">
        <f>HYPERLINK("https://case.edu/","CWRU – Official University Site") &amp; CHAR(10) &amp;  HYPERLINK("https://case.edu/news/seeking-new-ways-extract-rare-earth-metals","CWRU – NSF Phosphogypsum / REE Project") &amp; CHAR(10) &amp;HYPERLINK("https://sites.google.com/case.edu/duval-lab/research","CWRU – Duval Lab (Resource Recovery &amp; Separations)") &amp; CHAR(10) &amp;
HYPERLINK("https://engineering.case.edu/chemical-and-biomolecular-engineering/research/advanced-separation-methods","CWRU – Advanced Separation Methods") &amp; CHAR(10) &amp;
HYPERLINK("https://engineering.case.edu/civil-and-environmental-engineering/research/environmental-engineering","CWRU – Environmental Engineering Research")</f>
        <v>CWRU – Official University Site
CWRU – NSF Phosphogypsum / REE Project
CWRU – Duval Lab (Resource Recovery &amp; Separations)
CWRU – Advanced Separation Methods
CWRU – Environmental Engineering Research</v>
      </c>
      <c r="V57" s="11" t="s">
        <v>758</v>
      </c>
      <c r="W57" s="22"/>
      <c r="X57" s="22"/>
      <c r="Y57" s="22"/>
    </row>
    <row r="58" spans="1:25" ht="409.6">
      <c r="A58" s="11" t="s">
        <v>759</v>
      </c>
      <c r="B58" s="23" t="s">
        <v>10</v>
      </c>
      <c r="C58" s="11" t="s">
        <v>760</v>
      </c>
      <c r="D58" s="11" t="s">
        <v>761</v>
      </c>
      <c r="E58" s="34" t="s">
        <v>762</v>
      </c>
      <c r="F58" s="16" t="s">
        <v>763</v>
      </c>
      <c r="G58" s="16" t="s">
        <v>764</v>
      </c>
      <c r="H58" s="16" t="s">
        <v>765</v>
      </c>
      <c r="I58" s="16" t="s">
        <v>766</v>
      </c>
      <c r="J58" s="16" t="s">
        <v>767</v>
      </c>
      <c r="K58" s="23"/>
      <c r="L58" s="13" t="s">
        <v>61</v>
      </c>
      <c r="M58" s="13" t="s">
        <v>61</v>
      </c>
      <c r="N58" s="13" t="s">
        <v>61</v>
      </c>
      <c r="O58" s="13" t="s">
        <v>62</v>
      </c>
      <c r="P58" s="16" t="s">
        <v>768</v>
      </c>
      <c r="Q58" s="23" t="s">
        <v>30</v>
      </c>
      <c r="R58" s="23" t="s">
        <v>19</v>
      </c>
      <c r="S58" s="23"/>
      <c r="T58" s="16" t="s">
        <v>769</v>
      </c>
      <c r="U58" s="32" t="str">
        <f>HYPERLINK("https://www.mines.edu/","Mines – Official University Site") &amp; CHAR(10) &amp;
HYPERLINK("https://nusec.mines.edu/","Mines – Nuclear Science &amp; Engineering Center (NuSEC)") &amp; CHAR(10) &amp;
HYPERLINK("https://kiem.mines.edu/","Mines – Kroll Institute for Extractive Metallurgy") &amp; CHAR(10) &amp;
HYPERLINK("https://www.mines.edu/critical-minerals-research/","Mines – Critical Minerals Research") &amp; CHAR(10) &amp;
HYPERLINK("https://energy.mines.edu/minerals-and-metals/","Mines – Minerals &amp; Metals Initiative")</f>
        <v>Mines – Official University Site
Mines – Nuclear Science &amp; Engineering Center (NuSEC)
Mines – Kroll Institute for Extractive Metallurgy
Mines – Critical Minerals Research
Mines – Minerals &amp; Metals Initiative</v>
      </c>
      <c r="V58" s="11" t="s">
        <v>770</v>
      </c>
      <c r="W58" s="22"/>
      <c r="X58" s="22"/>
      <c r="Y58" s="22"/>
    </row>
    <row r="59" spans="1:25" ht="40">
      <c r="A59" s="35" t="s">
        <v>771</v>
      </c>
      <c r="B59" s="23"/>
      <c r="C59" s="23"/>
      <c r="D59" s="23"/>
      <c r="E59" s="23"/>
      <c r="F59" s="23"/>
      <c r="G59" s="23"/>
      <c r="H59" s="23"/>
      <c r="I59" s="23"/>
      <c r="J59" s="23"/>
      <c r="K59" s="23"/>
      <c r="L59" s="13"/>
      <c r="M59" s="13"/>
      <c r="N59" s="13"/>
      <c r="O59" s="13"/>
      <c r="P59" s="23"/>
      <c r="Q59" s="23"/>
      <c r="R59" s="23"/>
      <c r="S59" s="23"/>
      <c r="T59" s="23"/>
      <c r="U59" s="23"/>
      <c r="V59" s="23"/>
      <c r="W59" s="22"/>
      <c r="X59" s="22"/>
      <c r="Y59" s="22"/>
    </row>
    <row r="60" spans="1:25" ht="409.6">
      <c r="A60" s="11" t="s">
        <v>772</v>
      </c>
      <c r="B60" s="23" t="s">
        <v>10</v>
      </c>
      <c r="C60" s="11" t="s">
        <v>773</v>
      </c>
      <c r="D60" s="23" t="s">
        <v>774</v>
      </c>
      <c r="E60" s="34" t="s">
        <v>775</v>
      </c>
      <c r="F60" s="11" t="s">
        <v>776</v>
      </c>
      <c r="G60" s="11" t="s">
        <v>777</v>
      </c>
      <c r="H60" s="11" t="s">
        <v>778</v>
      </c>
      <c r="I60" s="11" t="s">
        <v>779</v>
      </c>
      <c r="J60" s="11" t="s">
        <v>780</v>
      </c>
      <c r="K60" s="23"/>
      <c r="L60" s="13" t="s">
        <v>61</v>
      </c>
      <c r="M60" s="13" t="s">
        <v>61</v>
      </c>
      <c r="N60" s="13" t="s">
        <v>62</v>
      </c>
      <c r="O60" s="13" t="s">
        <v>62</v>
      </c>
      <c r="P60" s="11" t="s">
        <v>781</v>
      </c>
      <c r="Q60" s="23" t="s">
        <v>18</v>
      </c>
      <c r="R60" s="23" t="s">
        <v>24</v>
      </c>
      <c r="S60" s="23"/>
      <c r="T60" s="11" t="s">
        <v>782</v>
      </c>
      <c r="U60" s="32" t="str">
        <f>HYPERLINK("https://apm.byu.edu/prism/index.php/Projects/VitrificationNuclearWaste","BYU – PRISM Vitrification Optimization Project") &amp; CHAR(10) &amp;
HYPERLINK("https://scholarsarchive.byu.edu/facpub/6185/","BYU – Nuclear Waste Vitrification Optimization Publication") &amp; CHAR(10) &amp;
HYPERLINK("https://apm.byu.edu/prism/index.php/Members/JohnHedengren","BYU – John Hedengren (PRISM Group) Profile") &amp; CHAR(10) &amp;
HYPERLINK("https://www.byu.edu/","BYU – Official University Site") &amp; CHAR(10) &amp;
HYPERLINK("https://scholarsarchive.byu.edu/cheme_etd/","BYU – Chemical Engineering Theses &amp; Dissertations (repository)")</f>
        <v>BYU – PRISM Vitrification Optimization Project
BYU – Nuclear Waste Vitrification Optimization Publication
BYU – John Hedengren (PRISM Group) Profile
BYU – Official University Site
BYU – Chemical Engineering Theses &amp; Dissertations (repository)</v>
      </c>
      <c r="V60" s="11" t="s">
        <v>783</v>
      </c>
      <c r="W60" s="22"/>
      <c r="X60" s="22"/>
      <c r="Y60" s="22"/>
    </row>
    <row r="61" spans="1:25" ht="388">
      <c r="A61" s="11" t="s">
        <v>784</v>
      </c>
      <c r="B61" s="23" t="s">
        <v>15</v>
      </c>
      <c r="C61" s="11" t="s">
        <v>785</v>
      </c>
      <c r="D61" s="23" t="s">
        <v>786</v>
      </c>
      <c r="E61" s="36" t="s">
        <v>787</v>
      </c>
      <c r="F61" s="11" t="s">
        <v>788</v>
      </c>
      <c r="G61" s="11" t="s">
        <v>789</v>
      </c>
      <c r="H61" s="11" t="s">
        <v>790</v>
      </c>
      <c r="I61" s="11" t="s">
        <v>791</v>
      </c>
      <c r="J61" s="11" t="s">
        <v>792</v>
      </c>
      <c r="K61" s="23"/>
      <c r="L61" s="13" t="s">
        <v>61</v>
      </c>
      <c r="M61" s="13" t="s">
        <v>61</v>
      </c>
      <c r="N61" s="13" t="s">
        <v>62</v>
      </c>
      <c r="O61" s="13" t="s">
        <v>62</v>
      </c>
      <c r="P61" s="11" t="s">
        <v>793</v>
      </c>
      <c r="Q61" s="23" t="s">
        <v>28</v>
      </c>
      <c r="R61" s="23" t="s">
        <v>14</v>
      </c>
      <c r="S61" s="11" t="s">
        <v>794</v>
      </c>
      <c r="T61" s="11" t="s">
        <v>795</v>
      </c>
      <c r="U61" s="32" t="s">
        <v>796</v>
      </c>
      <c r="V61" s="11" t="s">
        <v>797</v>
      </c>
      <c r="W61" s="22"/>
      <c r="X61" s="22"/>
      <c r="Y61" s="22"/>
    </row>
    <row r="62" spans="1:25" ht="372">
      <c r="A62" s="11" t="s">
        <v>513</v>
      </c>
      <c r="B62" s="23" t="s">
        <v>10</v>
      </c>
      <c r="C62" s="11" t="s">
        <v>798</v>
      </c>
      <c r="D62" s="11" t="s">
        <v>515</v>
      </c>
      <c r="E62" s="32" t="s">
        <v>799</v>
      </c>
      <c r="F62" s="11" t="s">
        <v>800</v>
      </c>
      <c r="G62" s="11" t="s">
        <v>801</v>
      </c>
      <c r="H62" s="11" t="s">
        <v>802</v>
      </c>
      <c r="I62" s="11" t="s">
        <v>803</v>
      </c>
      <c r="J62" s="11" t="s">
        <v>804</v>
      </c>
      <c r="K62" s="23"/>
      <c r="L62" s="13" t="s">
        <v>61</v>
      </c>
      <c r="M62" s="13" t="s">
        <v>61</v>
      </c>
      <c r="N62" s="13" t="s">
        <v>62</v>
      </c>
      <c r="O62" s="13" t="s">
        <v>62</v>
      </c>
      <c r="P62" s="11" t="s">
        <v>805</v>
      </c>
      <c r="Q62" s="23" t="s">
        <v>28</v>
      </c>
      <c r="R62" s="23" t="s">
        <v>14</v>
      </c>
      <c r="S62" s="11" t="s">
        <v>806</v>
      </c>
      <c r="T62" s="11" t="s">
        <v>807</v>
      </c>
      <c r="U62" s="32" t="s">
        <v>808</v>
      </c>
      <c r="V62" s="11" t="s">
        <v>809</v>
      </c>
      <c r="W62" s="22"/>
      <c r="X62" s="22"/>
      <c r="Y62" s="22"/>
    </row>
    <row r="63" spans="1:25" ht="16">
      <c r="A63" s="23"/>
      <c r="B63" s="23"/>
      <c r="C63" s="37"/>
      <c r="D63" s="23"/>
      <c r="E63" s="23"/>
      <c r="F63" s="23"/>
      <c r="G63" s="23"/>
      <c r="H63" s="23"/>
      <c r="I63" s="23"/>
      <c r="J63" s="23"/>
      <c r="K63" s="23"/>
      <c r="L63" s="13"/>
      <c r="M63" s="13"/>
      <c r="N63" s="13"/>
      <c r="O63" s="13"/>
      <c r="P63" s="23"/>
      <c r="Q63" s="23"/>
      <c r="R63" s="23"/>
      <c r="S63" s="23"/>
      <c r="T63" s="23"/>
      <c r="U63" s="23"/>
      <c r="V63" s="23"/>
      <c r="W63" s="22"/>
      <c r="X63" s="22"/>
      <c r="Y63" s="22"/>
    </row>
    <row r="64" spans="1:25" ht="16">
      <c r="A64" s="23"/>
      <c r="B64" s="23"/>
      <c r="C64" s="23"/>
      <c r="D64" s="23"/>
      <c r="E64" s="23"/>
      <c r="F64" s="23"/>
      <c r="G64" s="23"/>
      <c r="H64" s="23"/>
      <c r="I64" s="23"/>
      <c r="J64" s="23"/>
      <c r="K64" s="23"/>
      <c r="L64" s="13"/>
      <c r="M64" s="13"/>
      <c r="N64" s="13"/>
      <c r="O64" s="13"/>
      <c r="P64" s="23"/>
      <c r="Q64" s="23"/>
      <c r="R64" s="23"/>
      <c r="S64" s="23"/>
      <c r="T64" s="23"/>
      <c r="U64" s="23"/>
      <c r="V64" s="23"/>
      <c r="W64" s="22"/>
      <c r="X64" s="22"/>
      <c r="Y64" s="22"/>
    </row>
    <row r="65" spans="1:25" ht="16">
      <c r="A65" s="23"/>
      <c r="B65" s="23"/>
      <c r="C65" s="23"/>
      <c r="D65" s="23"/>
      <c r="E65" s="23"/>
      <c r="F65" s="23"/>
      <c r="G65" s="23"/>
      <c r="H65" s="23"/>
      <c r="I65" s="23"/>
      <c r="J65" s="23"/>
      <c r="K65" s="23"/>
      <c r="L65" s="13"/>
      <c r="M65" s="13"/>
      <c r="N65" s="13"/>
      <c r="O65" s="13"/>
      <c r="P65" s="23"/>
      <c r="Q65" s="23"/>
      <c r="R65" s="23"/>
      <c r="S65" s="23"/>
      <c r="T65" s="23"/>
      <c r="U65" s="23"/>
      <c r="V65" s="23"/>
      <c r="W65" s="22"/>
      <c r="X65" s="22"/>
      <c r="Y65" s="22"/>
    </row>
    <row r="66" spans="1:25" ht="16">
      <c r="A66" s="23"/>
      <c r="B66" s="23"/>
      <c r="C66" s="23"/>
      <c r="D66" s="23"/>
      <c r="E66" s="23"/>
      <c r="F66" s="23"/>
      <c r="G66" s="23"/>
      <c r="H66" s="23"/>
      <c r="I66" s="23"/>
      <c r="J66" s="23"/>
      <c r="K66" s="23"/>
      <c r="L66" s="13"/>
      <c r="M66" s="13"/>
      <c r="N66" s="13"/>
      <c r="O66" s="13"/>
      <c r="P66" s="23"/>
      <c r="Q66" s="23"/>
      <c r="R66" s="23"/>
      <c r="S66" s="23"/>
      <c r="T66" s="23"/>
      <c r="U66" s="23"/>
      <c r="V66" s="23"/>
      <c r="W66" s="22"/>
      <c r="X66" s="22"/>
      <c r="Y66" s="22"/>
    </row>
    <row r="67" spans="1:25" ht="16">
      <c r="A67" s="23"/>
      <c r="B67" s="23"/>
      <c r="C67" s="23"/>
      <c r="D67" s="23"/>
      <c r="E67" s="23"/>
      <c r="F67" s="23"/>
      <c r="G67" s="23"/>
      <c r="H67" s="23"/>
      <c r="I67" s="23"/>
      <c r="J67" s="23"/>
      <c r="K67" s="23"/>
      <c r="L67" s="13"/>
      <c r="M67" s="13"/>
      <c r="N67" s="13"/>
      <c r="O67" s="13"/>
      <c r="P67" s="23"/>
      <c r="Q67" s="23"/>
      <c r="R67" s="23"/>
      <c r="S67" s="23"/>
      <c r="T67" s="23"/>
      <c r="U67" s="23"/>
      <c r="V67" s="23"/>
      <c r="W67" s="22"/>
      <c r="X67" s="22"/>
      <c r="Y67" s="22"/>
    </row>
    <row r="68" spans="1:25" ht="16">
      <c r="A68" s="23"/>
      <c r="B68" s="23"/>
      <c r="C68" s="23"/>
      <c r="D68" s="23"/>
      <c r="E68" s="23"/>
      <c r="F68" s="23"/>
      <c r="G68" s="23"/>
      <c r="H68" s="23"/>
      <c r="I68" s="23"/>
      <c r="J68" s="23"/>
      <c r="K68" s="23"/>
      <c r="L68" s="13"/>
      <c r="M68" s="13"/>
      <c r="N68" s="13"/>
      <c r="O68" s="13"/>
      <c r="P68" s="23"/>
      <c r="Q68" s="23"/>
      <c r="R68" s="23"/>
      <c r="S68" s="23"/>
      <c r="T68" s="23"/>
      <c r="U68" s="23"/>
      <c r="V68" s="23"/>
      <c r="W68" s="22"/>
      <c r="X68" s="22"/>
      <c r="Y68" s="22"/>
    </row>
    <row r="69" spans="1:25" ht="19">
      <c r="A69" s="38" t="s">
        <v>810</v>
      </c>
      <c r="B69" s="23"/>
      <c r="C69" s="23"/>
      <c r="D69" s="23"/>
      <c r="E69" s="23"/>
      <c r="F69" s="23"/>
      <c r="G69" s="23"/>
      <c r="H69" s="23"/>
      <c r="I69" s="23"/>
      <c r="J69" s="23"/>
      <c r="K69" s="23"/>
      <c r="L69" s="13"/>
      <c r="M69" s="13"/>
      <c r="N69" s="13"/>
      <c r="O69" s="13"/>
      <c r="P69" s="23"/>
      <c r="Q69" s="23"/>
      <c r="R69" s="23"/>
      <c r="S69" s="23"/>
      <c r="T69" s="23"/>
      <c r="U69" s="23"/>
      <c r="V69" s="23"/>
      <c r="W69" s="22"/>
      <c r="X69" s="22"/>
      <c r="Y69" s="22"/>
    </row>
    <row r="70" spans="1:25" ht="322.5" customHeight="1">
      <c r="A70" s="23" t="s">
        <v>811</v>
      </c>
      <c r="B70" s="23" t="s">
        <v>20</v>
      </c>
      <c r="C70" s="11" t="s">
        <v>812</v>
      </c>
      <c r="D70" s="23" t="s">
        <v>813</v>
      </c>
      <c r="E70" s="24" t="s">
        <v>814</v>
      </c>
      <c r="F70" s="11" t="s">
        <v>815</v>
      </c>
      <c r="G70" s="11" t="s">
        <v>816</v>
      </c>
      <c r="H70" s="11" t="s">
        <v>817</v>
      </c>
      <c r="I70" s="11" t="s">
        <v>818</v>
      </c>
      <c r="J70" s="11" t="s">
        <v>819</v>
      </c>
      <c r="K70" s="23"/>
      <c r="L70" s="13" t="s">
        <v>61</v>
      </c>
      <c r="M70" s="13" t="s">
        <v>61</v>
      </c>
      <c r="N70" s="13" t="s">
        <v>61</v>
      </c>
      <c r="O70" s="13" t="s">
        <v>61</v>
      </c>
      <c r="P70" s="11" t="s">
        <v>820</v>
      </c>
      <c r="Q70" s="23" t="s">
        <v>28</v>
      </c>
      <c r="R70" s="23" t="s">
        <v>19</v>
      </c>
      <c r="S70" s="11" t="s">
        <v>821</v>
      </c>
      <c r="T70" s="11" t="s">
        <v>822</v>
      </c>
      <c r="U70" s="32" t="s">
        <v>823</v>
      </c>
      <c r="V70" s="11" t="s">
        <v>824</v>
      </c>
      <c r="W70" s="22"/>
      <c r="X70" s="22"/>
      <c r="Y70" s="22"/>
    </row>
    <row r="71" spans="1:25" ht="405" customHeight="1">
      <c r="A71" s="23" t="s">
        <v>825</v>
      </c>
      <c r="B71" s="23" t="s">
        <v>20</v>
      </c>
      <c r="C71" s="11" t="s">
        <v>826</v>
      </c>
      <c r="D71" s="23" t="s">
        <v>827</v>
      </c>
      <c r="E71" s="24" t="s">
        <v>828</v>
      </c>
      <c r="F71" s="11" t="s">
        <v>829</v>
      </c>
      <c r="G71" s="11" t="s">
        <v>830</v>
      </c>
      <c r="H71" s="11" t="s">
        <v>831</v>
      </c>
      <c r="I71" s="11" t="s">
        <v>832</v>
      </c>
      <c r="J71" s="11" t="s">
        <v>833</v>
      </c>
      <c r="K71" s="23"/>
      <c r="L71" s="13" t="s">
        <v>61</v>
      </c>
      <c r="M71" s="13" t="s">
        <v>61</v>
      </c>
      <c r="N71" s="13" t="s">
        <v>62</v>
      </c>
      <c r="O71" s="13" t="s">
        <v>62</v>
      </c>
      <c r="P71" s="11" t="s">
        <v>834</v>
      </c>
      <c r="Q71" s="23" t="s">
        <v>23</v>
      </c>
      <c r="R71" s="23" t="s">
        <v>24</v>
      </c>
      <c r="S71" s="11" t="s">
        <v>835</v>
      </c>
      <c r="T71" s="11" t="s">
        <v>836</v>
      </c>
      <c r="U71" s="32" t="s">
        <v>837</v>
      </c>
      <c r="V71" s="11" t="s">
        <v>838</v>
      </c>
      <c r="W71" s="22"/>
      <c r="X71" s="22"/>
      <c r="Y71" s="22"/>
    </row>
    <row r="72" spans="1:25" ht="241.5" customHeight="1">
      <c r="A72" s="27" t="s">
        <v>839</v>
      </c>
      <c r="B72" s="27" t="s">
        <v>20</v>
      </c>
      <c r="C72" s="11" t="s">
        <v>840</v>
      </c>
      <c r="D72" s="27" t="s">
        <v>130</v>
      </c>
      <c r="E72" s="39" t="s">
        <v>841</v>
      </c>
      <c r="F72" s="40" t="s">
        <v>842</v>
      </c>
      <c r="G72" s="40" t="s">
        <v>843</v>
      </c>
      <c r="H72" s="40" t="s">
        <v>844</v>
      </c>
      <c r="I72" s="40" t="s">
        <v>845</v>
      </c>
      <c r="J72" s="40" t="s">
        <v>846</v>
      </c>
      <c r="K72" s="27"/>
      <c r="L72" s="13" t="s">
        <v>62</v>
      </c>
      <c r="M72" s="13" t="s">
        <v>61</v>
      </c>
      <c r="N72" s="13" t="s">
        <v>61</v>
      </c>
      <c r="O72" s="13" t="s">
        <v>61</v>
      </c>
      <c r="P72" s="40" t="s">
        <v>847</v>
      </c>
      <c r="Q72" s="27" t="s">
        <v>23</v>
      </c>
      <c r="R72" s="27" t="s">
        <v>19</v>
      </c>
      <c r="S72" s="40" t="s">
        <v>848</v>
      </c>
      <c r="T72" s="40" t="s">
        <v>849</v>
      </c>
      <c r="U72" s="41" t="s">
        <v>850</v>
      </c>
      <c r="V72" s="40" t="s">
        <v>851</v>
      </c>
    </row>
    <row r="73" spans="1:25" ht="395">
      <c r="A73" s="27" t="s">
        <v>852</v>
      </c>
      <c r="B73" s="27" t="s">
        <v>20</v>
      </c>
      <c r="C73" s="11" t="s">
        <v>853</v>
      </c>
      <c r="D73" s="27" t="s">
        <v>854</v>
      </c>
      <c r="E73" s="39" t="s">
        <v>855</v>
      </c>
      <c r="F73" s="40" t="s">
        <v>856</v>
      </c>
      <c r="G73" s="40" t="s">
        <v>857</v>
      </c>
      <c r="H73" s="40" t="s">
        <v>858</v>
      </c>
      <c r="I73" s="40" t="s">
        <v>859</v>
      </c>
      <c r="J73" s="40" t="s">
        <v>860</v>
      </c>
      <c r="K73" s="27"/>
      <c r="L73" s="13" t="s">
        <v>61</v>
      </c>
      <c r="M73" s="13" t="s">
        <v>61</v>
      </c>
      <c r="N73" s="13" t="s">
        <v>61</v>
      </c>
      <c r="O73" s="13" t="s">
        <v>61</v>
      </c>
      <c r="P73" s="40" t="s">
        <v>861</v>
      </c>
      <c r="Q73" s="27" t="s">
        <v>28</v>
      </c>
      <c r="R73" s="27" t="s">
        <v>19</v>
      </c>
      <c r="S73" s="40" t="s">
        <v>862</v>
      </c>
      <c r="T73" s="40" t="s">
        <v>863</v>
      </c>
      <c r="U73" s="41" t="s">
        <v>864</v>
      </c>
      <c r="V73" s="40" t="s">
        <v>865</v>
      </c>
    </row>
    <row r="74" spans="1:25" ht="409.6">
      <c r="A74" s="27" t="s">
        <v>866</v>
      </c>
      <c r="B74" s="27" t="s">
        <v>20</v>
      </c>
      <c r="C74" s="18" t="s">
        <v>867</v>
      </c>
      <c r="D74" s="27" t="s">
        <v>868</v>
      </c>
      <c r="E74" s="39" t="s">
        <v>869</v>
      </c>
      <c r="F74" s="40" t="s">
        <v>870</v>
      </c>
      <c r="G74" s="40" t="s">
        <v>871</v>
      </c>
      <c r="H74" s="40" t="s">
        <v>872</v>
      </c>
      <c r="I74" s="40" t="s">
        <v>873</v>
      </c>
      <c r="J74" s="40" t="s">
        <v>874</v>
      </c>
      <c r="K74" s="27"/>
      <c r="L74" s="13" t="s">
        <v>61</v>
      </c>
      <c r="M74" s="13" t="s">
        <v>62</v>
      </c>
      <c r="N74" s="13" t="s">
        <v>62</v>
      </c>
      <c r="O74" s="13" t="s">
        <v>61</v>
      </c>
      <c r="P74" s="40" t="s">
        <v>875</v>
      </c>
      <c r="Q74" s="27" t="s">
        <v>23</v>
      </c>
      <c r="R74" s="27" t="s">
        <v>19</v>
      </c>
      <c r="S74" s="40" t="s">
        <v>876</v>
      </c>
      <c r="T74" s="40" t="s">
        <v>877</v>
      </c>
      <c r="U74" s="41" t="s">
        <v>878</v>
      </c>
      <c r="V74" s="40" t="s">
        <v>879</v>
      </c>
    </row>
    <row r="75" spans="1:25" ht="365">
      <c r="A75" s="27" t="s">
        <v>880</v>
      </c>
      <c r="B75" s="27" t="s">
        <v>25</v>
      </c>
      <c r="C75" s="11" t="s">
        <v>881</v>
      </c>
      <c r="D75" s="27" t="s">
        <v>882</v>
      </c>
      <c r="E75" s="39" t="s">
        <v>883</v>
      </c>
      <c r="F75" s="40" t="s">
        <v>884</v>
      </c>
      <c r="G75" s="40" t="s">
        <v>885</v>
      </c>
      <c r="H75" s="40" t="s">
        <v>886</v>
      </c>
      <c r="I75" s="40" t="s">
        <v>887</v>
      </c>
      <c r="J75" s="40" t="s">
        <v>888</v>
      </c>
      <c r="K75" s="27"/>
      <c r="L75" s="13" t="s">
        <v>62</v>
      </c>
      <c r="M75" s="13" t="s">
        <v>61</v>
      </c>
      <c r="N75" s="13" t="s">
        <v>61</v>
      </c>
      <c r="O75" s="13" t="s">
        <v>61</v>
      </c>
      <c r="P75" s="40" t="s">
        <v>889</v>
      </c>
      <c r="Q75" s="27" t="s">
        <v>28</v>
      </c>
      <c r="R75" s="27" t="s">
        <v>14</v>
      </c>
      <c r="S75" s="40" t="s">
        <v>890</v>
      </c>
      <c r="T75" s="40" t="s">
        <v>891</v>
      </c>
      <c r="U75" s="41" t="s">
        <v>892</v>
      </c>
      <c r="V75" s="40" t="s">
        <v>893</v>
      </c>
    </row>
    <row r="76" spans="1:25" ht="409.6">
      <c r="A76" s="27" t="s">
        <v>894</v>
      </c>
      <c r="B76" s="27" t="s">
        <v>20</v>
      </c>
      <c r="C76" s="11" t="s">
        <v>895</v>
      </c>
      <c r="D76" s="40" t="s">
        <v>896</v>
      </c>
      <c r="E76" s="19" t="s">
        <v>897</v>
      </c>
      <c r="F76" s="40" t="s">
        <v>898</v>
      </c>
      <c r="G76" s="40" t="s">
        <v>899</v>
      </c>
      <c r="H76" s="40" t="s">
        <v>900</v>
      </c>
      <c r="I76" s="40" t="s">
        <v>901</v>
      </c>
      <c r="J76" s="40" t="s">
        <v>902</v>
      </c>
      <c r="K76" s="27" t="s">
        <v>21</v>
      </c>
      <c r="L76" s="13" t="s">
        <v>62</v>
      </c>
      <c r="M76" s="13" t="s">
        <v>62</v>
      </c>
      <c r="N76" s="13" t="s">
        <v>62</v>
      </c>
      <c r="O76" s="13" t="s">
        <v>61</v>
      </c>
      <c r="P76" s="40" t="s">
        <v>903</v>
      </c>
      <c r="Q76" s="27" t="s">
        <v>28</v>
      </c>
      <c r="R76" s="27" t="s">
        <v>14</v>
      </c>
      <c r="S76" s="40" t="s">
        <v>904</v>
      </c>
      <c r="T76" s="40" t="s">
        <v>905</v>
      </c>
      <c r="U76" s="41" t="s">
        <v>897</v>
      </c>
      <c r="V76" s="40" t="s">
        <v>906</v>
      </c>
      <c r="W76" s="42" t="s">
        <v>907</v>
      </c>
    </row>
    <row r="77" spans="1:25" ht="365">
      <c r="A77" s="27" t="s">
        <v>839</v>
      </c>
      <c r="B77" s="27" t="s">
        <v>20</v>
      </c>
      <c r="C77" s="11" t="s">
        <v>908</v>
      </c>
      <c r="D77" s="27" t="s">
        <v>909</v>
      </c>
      <c r="E77" s="39" t="s">
        <v>841</v>
      </c>
      <c r="F77" s="40" t="s">
        <v>910</v>
      </c>
      <c r="G77" s="40" t="s">
        <v>911</v>
      </c>
      <c r="H77" s="40" t="s">
        <v>912</v>
      </c>
      <c r="I77" s="40" t="s">
        <v>913</v>
      </c>
      <c r="J77" s="40" t="s">
        <v>914</v>
      </c>
      <c r="K77" s="27" t="s">
        <v>16</v>
      </c>
      <c r="L77" s="13" t="s">
        <v>62</v>
      </c>
      <c r="M77" s="13" t="s">
        <v>62</v>
      </c>
      <c r="N77" s="13" t="s">
        <v>61</v>
      </c>
      <c r="O77" s="13" t="s">
        <v>62</v>
      </c>
      <c r="P77" s="40" t="s">
        <v>915</v>
      </c>
      <c r="Q77" s="27" t="s">
        <v>23</v>
      </c>
      <c r="R77" s="27" t="s">
        <v>14</v>
      </c>
      <c r="S77" s="40" t="s">
        <v>916</v>
      </c>
      <c r="T77" s="40" t="s">
        <v>917</v>
      </c>
      <c r="U77" s="41" t="s">
        <v>918</v>
      </c>
      <c r="V77" s="40" t="s">
        <v>919</v>
      </c>
      <c r="W77" s="40" t="s">
        <v>920</v>
      </c>
    </row>
    <row r="78" spans="1:25" ht="409.6">
      <c r="A78" s="27" t="s">
        <v>921</v>
      </c>
      <c r="B78" s="27" t="s">
        <v>20</v>
      </c>
      <c r="C78" s="11" t="s">
        <v>922</v>
      </c>
      <c r="D78" s="27" t="s">
        <v>923</v>
      </c>
      <c r="E78" s="39"/>
      <c r="F78" s="40" t="s">
        <v>924</v>
      </c>
      <c r="G78" s="40" t="s">
        <v>925</v>
      </c>
      <c r="H78" s="40" t="s">
        <v>926</v>
      </c>
      <c r="I78" s="40" t="s">
        <v>927</v>
      </c>
      <c r="J78" s="40" t="s">
        <v>928</v>
      </c>
      <c r="K78" s="27"/>
      <c r="L78" s="13" t="s">
        <v>62</v>
      </c>
      <c r="M78" s="13" t="s">
        <v>61</v>
      </c>
      <c r="N78" s="13" t="s">
        <v>61</v>
      </c>
      <c r="O78" s="13" t="s">
        <v>61</v>
      </c>
      <c r="P78" s="40" t="s">
        <v>929</v>
      </c>
      <c r="Q78" s="27" t="s">
        <v>23</v>
      </c>
      <c r="R78" s="27" t="s">
        <v>24</v>
      </c>
      <c r="S78" s="40" t="s">
        <v>930</v>
      </c>
      <c r="T78" s="40" t="s">
        <v>931</v>
      </c>
      <c r="U78" s="41" t="s">
        <v>932</v>
      </c>
      <c r="V78" s="40" t="s">
        <v>933</v>
      </c>
    </row>
    <row r="79" spans="1:25" ht="256">
      <c r="A79" s="27" t="s">
        <v>934</v>
      </c>
      <c r="B79" s="27" t="s">
        <v>20</v>
      </c>
      <c r="C79" s="11" t="s">
        <v>935</v>
      </c>
      <c r="D79" s="27" t="s">
        <v>936</v>
      </c>
      <c r="E79" s="39"/>
      <c r="F79" s="40" t="s">
        <v>937</v>
      </c>
      <c r="G79" s="40" t="s">
        <v>938</v>
      </c>
      <c r="H79" s="40" t="s">
        <v>939</v>
      </c>
      <c r="I79" s="40" t="s">
        <v>940</v>
      </c>
      <c r="J79" s="40" t="s">
        <v>941</v>
      </c>
      <c r="K79" s="27"/>
      <c r="L79" s="13" t="s">
        <v>62</v>
      </c>
      <c r="M79" s="13" t="s">
        <v>61</v>
      </c>
      <c r="N79" s="13" t="s">
        <v>62</v>
      </c>
      <c r="O79" s="13" t="s">
        <v>61</v>
      </c>
      <c r="P79" s="40" t="s">
        <v>942</v>
      </c>
      <c r="Q79" s="27" t="s">
        <v>18</v>
      </c>
      <c r="R79" s="27" t="s">
        <v>24</v>
      </c>
      <c r="S79" s="40" t="s">
        <v>943</v>
      </c>
      <c r="T79" s="40" t="s">
        <v>944</v>
      </c>
      <c r="U79" s="41" t="s">
        <v>945</v>
      </c>
      <c r="V79" s="40" t="s">
        <v>946</v>
      </c>
    </row>
    <row r="80" spans="1:25" ht="380">
      <c r="A80" s="27" t="s">
        <v>947</v>
      </c>
      <c r="B80" s="27" t="s">
        <v>20</v>
      </c>
      <c r="C80" s="11" t="s">
        <v>948</v>
      </c>
      <c r="D80" s="27" t="s">
        <v>949</v>
      </c>
      <c r="E80" s="39" t="s">
        <v>950</v>
      </c>
      <c r="F80" s="40" t="s">
        <v>951</v>
      </c>
      <c r="G80" s="40" t="s">
        <v>952</v>
      </c>
      <c r="H80" s="40" t="s">
        <v>953</v>
      </c>
      <c r="I80" s="40" t="s">
        <v>954</v>
      </c>
      <c r="J80" s="40" t="s">
        <v>955</v>
      </c>
      <c r="K80" s="27"/>
      <c r="L80" s="13" t="s">
        <v>62</v>
      </c>
      <c r="M80" s="13" t="s">
        <v>61</v>
      </c>
      <c r="N80" s="13" t="s">
        <v>61</v>
      </c>
      <c r="O80" s="13" t="s">
        <v>61</v>
      </c>
      <c r="P80" s="40" t="s">
        <v>956</v>
      </c>
      <c r="Q80" s="27" t="s">
        <v>23</v>
      </c>
      <c r="R80" s="27" t="s">
        <v>24</v>
      </c>
      <c r="S80" s="40" t="s">
        <v>957</v>
      </c>
      <c r="T80" s="40" t="s">
        <v>958</v>
      </c>
      <c r="U80" s="41" t="s">
        <v>959</v>
      </c>
      <c r="V80" s="40" t="s">
        <v>960</v>
      </c>
    </row>
    <row r="81" spans="1:39" ht="380">
      <c r="A81" s="27" t="s">
        <v>961</v>
      </c>
      <c r="B81" s="27" t="s">
        <v>20</v>
      </c>
      <c r="C81" s="11" t="s">
        <v>962</v>
      </c>
      <c r="D81" s="27" t="s">
        <v>963</v>
      </c>
      <c r="E81" s="39" t="s">
        <v>964</v>
      </c>
      <c r="F81" s="40" t="s">
        <v>965</v>
      </c>
      <c r="G81" s="40" t="s">
        <v>966</v>
      </c>
      <c r="H81" s="40" t="s">
        <v>967</v>
      </c>
      <c r="I81" s="40" t="s">
        <v>968</v>
      </c>
      <c r="J81" s="40" t="s">
        <v>969</v>
      </c>
      <c r="K81" s="27"/>
      <c r="L81" s="13" t="s">
        <v>62</v>
      </c>
      <c r="M81" s="13" t="s">
        <v>61</v>
      </c>
      <c r="N81" s="13" t="s">
        <v>61</v>
      </c>
      <c r="O81" s="13" t="s">
        <v>61</v>
      </c>
      <c r="P81" s="40" t="s">
        <v>970</v>
      </c>
      <c r="Q81" s="27" t="s">
        <v>23</v>
      </c>
      <c r="R81" s="27" t="s">
        <v>19</v>
      </c>
      <c r="S81" s="40" t="s">
        <v>971</v>
      </c>
      <c r="T81" s="40" t="s">
        <v>972</v>
      </c>
      <c r="U81" s="41" t="s">
        <v>973</v>
      </c>
      <c r="V81" s="40" t="s">
        <v>974</v>
      </c>
    </row>
    <row r="82" spans="1:39" ht="318.75" customHeight="1">
      <c r="A82" s="27" t="s">
        <v>975</v>
      </c>
      <c r="B82" s="27" t="s">
        <v>20</v>
      </c>
      <c r="C82" s="11" t="s">
        <v>976</v>
      </c>
      <c r="D82" s="40" t="s">
        <v>977</v>
      </c>
      <c r="E82" s="39" t="s">
        <v>978</v>
      </c>
      <c r="F82" s="40" t="s">
        <v>979</v>
      </c>
      <c r="G82" s="40" t="s">
        <v>980</v>
      </c>
      <c r="H82" s="40" t="s">
        <v>981</v>
      </c>
      <c r="I82" s="40" t="s">
        <v>982</v>
      </c>
      <c r="J82" s="40" t="s">
        <v>983</v>
      </c>
      <c r="K82" s="27"/>
      <c r="L82" s="13" t="s">
        <v>62</v>
      </c>
      <c r="M82" s="13" t="s">
        <v>61</v>
      </c>
      <c r="N82" s="13" t="s">
        <v>61</v>
      </c>
      <c r="O82" s="13" t="s">
        <v>61</v>
      </c>
      <c r="P82" s="40" t="s">
        <v>984</v>
      </c>
      <c r="Q82" s="27" t="s">
        <v>23</v>
      </c>
      <c r="R82" s="27" t="s">
        <v>19</v>
      </c>
      <c r="S82" s="40" t="s">
        <v>985</v>
      </c>
      <c r="T82" s="40" t="s">
        <v>986</v>
      </c>
      <c r="U82" s="41" t="s">
        <v>987</v>
      </c>
      <c r="V82" s="40" t="s">
        <v>988</v>
      </c>
    </row>
    <row r="83" spans="1:39" ht="365">
      <c r="A83" s="27" t="s">
        <v>989</v>
      </c>
      <c r="B83" s="27" t="s">
        <v>20</v>
      </c>
      <c r="C83" s="11" t="s">
        <v>990</v>
      </c>
      <c r="D83" s="27" t="s">
        <v>991</v>
      </c>
      <c r="E83" s="39" t="s">
        <v>992</v>
      </c>
      <c r="F83" s="40" t="s">
        <v>993</v>
      </c>
      <c r="G83" s="40" t="s">
        <v>994</v>
      </c>
      <c r="H83" s="40" t="s">
        <v>995</v>
      </c>
      <c r="I83" s="40" t="s">
        <v>996</v>
      </c>
      <c r="J83" s="40" t="s">
        <v>997</v>
      </c>
      <c r="K83" s="27"/>
      <c r="L83" s="13" t="s">
        <v>62</v>
      </c>
      <c r="M83" s="13" t="s">
        <v>61</v>
      </c>
      <c r="N83" s="13" t="s">
        <v>61</v>
      </c>
      <c r="O83" s="13" t="s">
        <v>62</v>
      </c>
      <c r="P83" s="40" t="s">
        <v>998</v>
      </c>
      <c r="Q83" s="27" t="s">
        <v>23</v>
      </c>
      <c r="R83" s="27" t="s">
        <v>19</v>
      </c>
      <c r="S83" s="40" t="s">
        <v>999</v>
      </c>
      <c r="T83" s="40" t="s">
        <v>1000</v>
      </c>
      <c r="U83" s="41" t="s">
        <v>1001</v>
      </c>
      <c r="V83" s="40" t="s">
        <v>1002</v>
      </c>
    </row>
    <row r="84" spans="1:39" ht="192">
      <c r="A84" s="27" t="s">
        <v>1003</v>
      </c>
      <c r="B84" s="27" t="s">
        <v>20</v>
      </c>
      <c r="C84" s="11" t="s">
        <v>1004</v>
      </c>
      <c r="D84" s="40" t="s">
        <v>1005</v>
      </c>
      <c r="E84" s="39" t="s">
        <v>1006</v>
      </c>
      <c r="F84" s="40" t="s">
        <v>1007</v>
      </c>
      <c r="G84" s="40" t="s">
        <v>1008</v>
      </c>
      <c r="H84" s="40" t="s">
        <v>1009</v>
      </c>
      <c r="I84" s="40" t="s">
        <v>1010</v>
      </c>
      <c r="J84" s="40" t="s">
        <v>1011</v>
      </c>
      <c r="K84" s="27"/>
      <c r="L84" s="13" t="s">
        <v>62</v>
      </c>
      <c r="M84" s="13" t="s">
        <v>61</v>
      </c>
      <c r="N84" s="13" t="s">
        <v>62</v>
      </c>
      <c r="O84" s="13" t="s">
        <v>62</v>
      </c>
      <c r="P84" s="40" t="s">
        <v>1012</v>
      </c>
      <c r="Q84" s="27" t="s">
        <v>23</v>
      </c>
      <c r="R84" s="27" t="s">
        <v>24</v>
      </c>
      <c r="S84" s="40" t="s">
        <v>1013</v>
      </c>
      <c r="T84" s="40" t="s">
        <v>1014</v>
      </c>
      <c r="U84" s="41" t="s">
        <v>1015</v>
      </c>
      <c r="V84" s="40" t="s">
        <v>1016</v>
      </c>
    </row>
    <row r="85" spans="1:39" ht="160">
      <c r="A85" s="27" t="s">
        <v>1017</v>
      </c>
      <c r="B85" s="27" t="s">
        <v>20</v>
      </c>
      <c r="C85" s="11" t="s">
        <v>1018</v>
      </c>
      <c r="D85" s="27" t="s">
        <v>1019</v>
      </c>
      <c r="E85" s="39" t="s">
        <v>1020</v>
      </c>
      <c r="F85" s="40" t="s">
        <v>1021</v>
      </c>
      <c r="G85" s="40" t="s">
        <v>1022</v>
      </c>
      <c r="H85" s="40" t="s">
        <v>1023</v>
      </c>
      <c r="I85" s="40" t="s">
        <v>1024</v>
      </c>
      <c r="J85" s="40" t="s">
        <v>1025</v>
      </c>
      <c r="K85" s="27"/>
      <c r="L85" s="13" t="s">
        <v>62</v>
      </c>
      <c r="M85" s="13" t="s">
        <v>61</v>
      </c>
      <c r="N85" s="13" t="s">
        <v>62</v>
      </c>
      <c r="O85" s="13"/>
      <c r="P85" s="40" t="s">
        <v>1026</v>
      </c>
      <c r="Q85" s="27" t="s">
        <v>23</v>
      </c>
      <c r="R85" s="27" t="s">
        <v>24</v>
      </c>
      <c r="S85" s="40" t="s">
        <v>1027</v>
      </c>
      <c r="T85" s="40" t="s">
        <v>1028</v>
      </c>
      <c r="U85" s="41" t="s">
        <v>1029</v>
      </c>
      <c r="V85" s="40" t="s">
        <v>1030</v>
      </c>
    </row>
    <row r="86" spans="1:39" ht="409.5" customHeight="1">
      <c r="A86" s="11" t="s">
        <v>1031</v>
      </c>
      <c r="B86" s="27" t="s">
        <v>20</v>
      </c>
      <c r="C86" s="11" t="s">
        <v>1032</v>
      </c>
      <c r="D86" s="27" t="s">
        <v>1033</v>
      </c>
      <c r="E86" s="39" t="s">
        <v>1034</v>
      </c>
      <c r="F86" s="40" t="s">
        <v>1035</v>
      </c>
      <c r="G86" s="40" t="s">
        <v>1036</v>
      </c>
      <c r="H86" s="40" t="s">
        <v>1037</v>
      </c>
      <c r="I86" s="40" t="s">
        <v>1038</v>
      </c>
      <c r="J86" s="40" t="s">
        <v>1039</v>
      </c>
      <c r="K86" s="27" t="s">
        <v>16</v>
      </c>
      <c r="L86" s="13" t="s">
        <v>61</v>
      </c>
      <c r="M86" s="13" t="s">
        <v>61</v>
      </c>
      <c r="N86" s="13" t="s">
        <v>61</v>
      </c>
      <c r="O86" s="13" t="s">
        <v>61</v>
      </c>
      <c r="P86" s="40" t="s">
        <v>1040</v>
      </c>
      <c r="Q86" s="27" t="s">
        <v>30</v>
      </c>
      <c r="R86" s="27" t="s">
        <v>24</v>
      </c>
      <c r="S86" s="40" t="s">
        <v>1041</v>
      </c>
      <c r="T86" s="40" t="s">
        <v>1042</v>
      </c>
      <c r="U86" s="41" t="s">
        <v>1043</v>
      </c>
      <c r="V86" s="40" t="s">
        <v>1044</v>
      </c>
      <c r="W86" s="41" t="s">
        <v>1045</v>
      </c>
    </row>
    <row r="87" spans="1:39" ht="365">
      <c r="A87" s="11" t="s">
        <v>1046</v>
      </c>
      <c r="B87" s="27" t="s">
        <v>20</v>
      </c>
      <c r="C87" s="11" t="s">
        <v>1047</v>
      </c>
      <c r="D87" s="27" t="s">
        <v>1048</v>
      </c>
      <c r="E87" s="39" t="s">
        <v>1049</v>
      </c>
      <c r="F87" s="40" t="s">
        <v>1050</v>
      </c>
      <c r="G87" s="40" t="s">
        <v>1051</v>
      </c>
      <c r="H87" s="40" t="s">
        <v>1052</v>
      </c>
      <c r="I87" s="40" t="s">
        <v>1053</v>
      </c>
      <c r="J87" s="40" t="s">
        <v>1054</v>
      </c>
      <c r="K87" s="27"/>
      <c r="L87" s="13" t="s">
        <v>62</v>
      </c>
      <c r="M87" s="13" t="s">
        <v>61</v>
      </c>
      <c r="N87" s="13" t="s">
        <v>61</v>
      </c>
      <c r="O87" s="13" t="s">
        <v>61</v>
      </c>
      <c r="P87" s="40" t="s">
        <v>1055</v>
      </c>
      <c r="Q87" s="27" t="s">
        <v>28</v>
      </c>
      <c r="R87" s="27" t="s">
        <v>19</v>
      </c>
      <c r="S87" s="40" t="s">
        <v>1056</v>
      </c>
      <c r="T87" s="40" t="s">
        <v>1057</v>
      </c>
      <c r="U87" s="41" t="s">
        <v>1058</v>
      </c>
      <c r="V87" s="40" t="s">
        <v>1059</v>
      </c>
    </row>
    <row r="88" spans="1:39" ht="340">
      <c r="A88" s="11" t="s">
        <v>1060</v>
      </c>
      <c r="B88" s="23" t="s">
        <v>20</v>
      </c>
      <c r="C88" s="11" t="s">
        <v>1061</v>
      </c>
      <c r="D88" s="23" t="s">
        <v>1062</v>
      </c>
      <c r="E88" s="24" t="s">
        <v>1063</v>
      </c>
      <c r="F88" s="11" t="s">
        <v>1064</v>
      </c>
      <c r="G88" s="11" t="s">
        <v>1065</v>
      </c>
      <c r="H88" s="11" t="s">
        <v>1066</v>
      </c>
      <c r="I88" s="11" t="s">
        <v>1067</v>
      </c>
      <c r="J88" s="11" t="s">
        <v>1068</v>
      </c>
      <c r="K88" s="23" t="s">
        <v>21</v>
      </c>
      <c r="L88" s="13" t="s">
        <v>62</v>
      </c>
      <c r="M88" s="13" t="s">
        <v>62</v>
      </c>
      <c r="N88" s="13" t="s">
        <v>62</v>
      </c>
      <c r="O88" s="13" t="s">
        <v>62</v>
      </c>
      <c r="P88" s="11" t="s">
        <v>1069</v>
      </c>
      <c r="Q88" s="23" t="s">
        <v>28</v>
      </c>
      <c r="R88" s="23" t="s">
        <v>19</v>
      </c>
      <c r="S88" s="11" t="s">
        <v>1070</v>
      </c>
      <c r="T88" s="11" t="s">
        <v>1071</v>
      </c>
      <c r="U88" s="32" t="s">
        <v>1072</v>
      </c>
      <c r="V88" s="11" t="s">
        <v>1073</v>
      </c>
      <c r="W88" s="22"/>
    </row>
    <row r="89" spans="1:39" ht="404">
      <c r="A89" s="11" t="s">
        <v>1074</v>
      </c>
      <c r="B89" s="23" t="s">
        <v>20</v>
      </c>
      <c r="C89" s="11" t="s">
        <v>1075</v>
      </c>
      <c r="D89" s="11" t="s">
        <v>1076</v>
      </c>
      <c r="E89" s="15" t="s">
        <v>1077</v>
      </c>
      <c r="F89" s="11" t="s">
        <v>1078</v>
      </c>
      <c r="G89" s="11" t="s">
        <v>1079</v>
      </c>
      <c r="H89" s="11" t="s">
        <v>1080</v>
      </c>
      <c r="I89" s="11" t="s">
        <v>1081</v>
      </c>
      <c r="J89" s="11" t="s">
        <v>1082</v>
      </c>
      <c r="K89" s="23" t="s">
        <v>21</v>
      </c>
      <c r="L89" s="23" t="s">
        <v>62</v>
      </c>
      <c r="M89" s="23" t="s">
        <v>62</v>
      </c>
      <c r="N89" s="23" t="s">
        <v>62</v>
      </c>
      <c r="O89" s="23" t="s">
        <v>61</v>
      </c>
      <c r="P89" s="11" t="s">
        <v>1083</v>
      </c>
      <c r="Q89" s="23" t="s">
        <v>28</v>
      </c>
      <c r="R89" s="23" t="s">
        <v>19</v>
      </c>
      <c r="S89" s="11" t="s">
        <v>1084</v>
      </c>
      <c r="T89" s="11" t="s">
        <v>1085</v>
      </c>
      <c r="U89" s="11" t="s">
        <v>1086</v>
      </c>
      <c r="V89" s="11" t="s">
        <v>1087</v>
      </c>
      <c r="W89" s="23"/>
      <c r="X89" s="22"/>
      <c r="Y89" s="22"/>
      <c r="Z89" s="22"/>
      <c r="AA89" s="22"/>
      <c r="AB89" s="22"/>
      <c r="AC89" s="22"/>
      <c r="AD89" s="22"/>
      <c r="AE89" s="22"/>
      <c r="AF89" s="22"/>
      <c r="AG89" s="22"/>
      <c r="AH89" s="22"/>
      <c r="AI89" s="22"/>
      <c r="AJ89" s="22"/>
      <c r="AK89" s="22"/>
      <c r="AL89" s="22"/>
      <c r="AM89" s="22"/>
    </row>
    <row r="90" spans="1:39" ht="409.6">
      <c r="A90" s="11" t="s">
        <v>1088</v>
      </c>
      <c r="B90" s="11" t="s">
        <v>20</v>
      </c>
      <c r="C90" s="11" t="s">
        <v>1089</v>
      </c>
      <c r="D90" s="11" t="s">
        <v>1090</v>
      </c>
      <c r="E90" s="11" t="s">
        <v>1091</v>
      </c>
      <c r="F90" s="11" t="s">
        <v>1092</v>
      </c>
      <c r="G90" s="11" t="s">
        <v>1093</v>
      </c>
      <c r="H90" s="11" t="s">
        <v>1094</v>
      </c>
      <c r="I90" s="11" t="s">
        <v>1095</v>
      </c>
      <c r="J90" s="11" t="s">
        <v>1096</v>
      </c>
      <c r="K90" s="11" t="s">
        <v>16</v>
      </c>
      <c r="L90" s="13" t="s">
        <v>62</v>
      </c>
      <c r="M90" s="13" t="s">
        <v>62</v>
      </c>
      <c r="N90" s="13" t="s">
        <v>61</v>
      </c>
      <c r="O90" s="13" t="s">
        <v>62</v>
      </c>
      <c r="P90" s="11" t="s">
        <v>1097</v>
      </c>
      <c r="Q90" s="11" t="s">
        <v>23</v>
      </c>
      <c r="R90" s="11" t="s">
        <v>24</v>
      </c>
      <c r="S90" s="11" t="s">
        <v>1098</v>
      </c>
      <c r="T90" s="11" t="s">
        <v>1099</v>
      </c>
      <c r="U90" s="11" t="s">
        <v>1100</v>
      </c>
      <c r="V90" s="11" t="s">
        <v>1101</v>
      </c>
      <c r="W90" s="11"/>
    </row>
    <row r="91" spans="1:39" ht="19">
      <c r="A91" s="43" t="s">
        <v>1102</v>
      </c>
      <c r="B91" s="27"/>
      <c r="C91" s="11"/>
      <c r="D91" s="27"/>
      <c r="E91" s="39"/>
      <c r="F91" s="40"/>
      <c r="G91" s="40"/>
      <c r="H91" s="40"/>
      <c r="I91" s="40"/>
      <c r="J91" s="40"/>
      <c r="K91" s="27"/>
      <c r="L91" s="13"/>
      <c r="M91" s="13"/>
      <c r="N91" s="13"/>
      <c r="O91" s="13"/>
      <c r="P91" s="40"/>
      <c r="Q91" s="27"/>
      <c r="R91" s="27"/>
      <c r="S91" s="40"/>
      <c r="T91" s="40"/>
      <c r="U91" s="41"/>
      <c r="V91" s="40"/>
    </row>
    <row r="92" spans="1:39" ht="395">
      <c r="A92" s="27" t="s">
        <v>1103</v>
      </c>
      <c r="B92" s="27" t="s">
        <v>25</v>
      </c>
      <c r="C92" s="40" t="s">
        <v>1104</v>
      </c>
      <c r="D92" s="27" t="s">
        <v>1105</v>
      </c>
      <c r="E92" s="39" t="s">
        <v>1106</v>
      </c>
      <c r="F92" s="40" t="s">
        <v>1107</v>
      </c>
      <c r="G92" s="40" t="s">
        <v>1108</v>
      </c>
      <c r="H92" s="40" t="s">
        <v>1109</v>
      </c>
      <c r="I92" s="40" t="s">
        <v>1110</v>
      </c>
      <c r="J92" s="40" t="s">
        <v>1111</v>
      </c>
      <c r="K92" s="27"/>
      <c r="L92" s="13" t="s">
        <v>62</v>
      </c>
      <c r="M92" s="13" t="s">
        <v>61</v>
      </c>
      <c r="N92" s="13" t="s">
        <v>62</v>
      </c>
      <c r="O92" s="13" t="s">
        <v>61</v>
      </c>
      <c r="P92" s="40" t="s">
        <v>1112</v>
      </c>
      <c r="Q92" s="27" t="s">
        <v>30</v>
      </c>
      <c r="R92" s="27" t="s">
        <v>14</v>
      </c>
      <c r="S92" s="40" t="s">
        <v>1113</v>
      </c>
      <c r="T92" s="40" t="s">
        <v>1114</v>
      </c>
      <c r="U92" s="41" t="s">
        <v>1115</v>
      </c>
      <c r="V92" s="40" t="s">
        <v>1116</v>
      </c>
    </row>
    <row r="93" spans="1:39" ht="409.6">
      <c r="A93" s="27" t="s">
        <v>1117</v>
      </c>
      <c r="B93" s="27" t="s">
        <v>25</v>
      </c>
      <c r="C93" s="40" t="s">
        <v>1118</v>
      </c>
      <c r="D93" s="40" t="s">
        <v>1119</v>
      </c>
      <c r="E93" s="19" t="s">
        <v>1120</v>
      </c>
      <c r="F93" s="40" t="s">
        <v>1121</v>
      </c>
      <c r="G93" s="40" t="s">
        <v>1122</v>
      </c>
      <c r="H93" s="40" t="s">
        <v>1123</v>
      </c>
      <c r="I93" s="40" t="s">
        <v>1124</v>
      </c>
      <c r="J93" s="40" t="s">
        <v>1125</v>
      </c>
      <c r="K93" s="27" t="s">
        <v>21</v>
      </c>
      <c r="L93" s="13" t="s">
        <v>62</v>
      </c>
      <c r="M93" s="13" t="s">
        <v>62</v>
      </c>
      <c r="N93" s="13" t="s">
        <v>61</v>
      </c>
      <c r="O93" s="13" t="s">
        <v>61</v>
      </c>
      <c r="P93" s="40" t="s">
        <v>1126</v>
      </c>
      <c r="Q93" s="27" t="s">
        <v>23</v>
      </c>
      <c r="R93" s="27" t="s">
        <v>14</v>
      </c>
      <c r="S93" s="40" t="s">
        <v>1127</v>
      </c>
      <c r="T93" s="40" t="s">
        <v>1128</v>
      </c>
      <c r="U93" s="41" t="s">
        <v>1120</v>
      </c>
      <c r="V93" s="40" t="s">
        <v>1129</v>
      </c>
      <c r="W93" s="42" t="s">
        <v>1130</v>
      </c>
    </row>
    <row r="94" spans="1:39" ht="409.6">
      <c r="A94" s="11" t="s">
        <v>1131</v>
      </c>
      <c r="B94" s="11" t="s">
        <v>1132</v>
      </c>
      <c r="C94" s="18" t="s">
        <v>1133</v>
      </c>
      <c r="D94" s="11" t="s">
        <v>1134</v>
      </c>
      <c r="E94" s="15" t="s">
        <v>1135</v>
      </c>
      <c r="F94" s="18" t="s">
        <v>1136</v>
      </c>
      <c r="G94" s="18" t="s">
        <v>1137</v>
      </c>
      <c r="H94" s="18" t="s">
        <v>1138</v>
      </c>
      <c r="I94" s="11" t="s">
        <v>1139</v>
      </c>
      <c r="J94" s="11" t="s">
        <v>1140</v>
      </c>
      <c r="K94" s="11"/>
      <c r="L94" s="11" t="s">
        <v>61</v>
      </c>
      <c r="M94" s="11" t="s">
        <v>61</v>
      </c>
      <c r="N94" s="11" t="s">
        <v>61</v>
      </c>
      <c r="O94" s="11" t="s">
        <v>62</v>
      </c>
      <c r="P94" s="18" t="s">
        <v>1141</v>
      </c>
      <c r="Q94" s="18">
        <v>4</v>
      </c>
      <c r="R94" s="11" t="s">
        <v>19</v>
      </c>
      <c r="S94" s="11" t="s">
        <v>1142</v>
      </c>
      <c r="T94" s="11" t="s">
        <v>1143</v>
      </c>
      <c r="U94" s="15" t="s">
        <v>1144</v>
      </c>
      <c r="V94" s="11" t="s">
        <v>1145</v>
      </c>
      <c r="W94" s="11" t="s">
        <v>1146</v>
      </c>
      <c r="X94" s="22"/>
      <c r="Y94" s="22"/>
      <c r="Z94" s="22"/>
      <c r="AA94" s="22"/>
      <c r="AB94" s="22"/>
      <c r="AC94" s="22"/>
      <c r="AD94" s="22"/>
      <c r="AE94" s="22"/>
      <c r="AF94" s="22"/>
      <c r="AG94" s="22"/>
      <c r="AH94" s="22"/>
      <c r="AI94" s="22"/>
    </row>
    <row r="95" spans="1:39" ht="409.6">
      <c r="A95" s="23" t="s">
        <v>1147</v>
      </c>
      <c r="B95" s="11" t="s">
        <v>25</v>
      </c>
      <c r="C95" s="11" t="s">
        <v>1148</v>
      </c>
      <c r="D95" s="23" t="s">
        <v>1149</v>
      </c>
      <c r="E95" s="11" t="s">
        <v>1150</v>
      </c>
      <c r="F95" s="11" t="s">
        <v>1151</v>
      </c>
      <c r="G95" s="11" t="s">
        <v>1152</v>
      </c>
      <c r="H95" s="11" t="s">
        <v>1153</v>
      </c>
      <c r="I95" s="11" t="s">
        <v>1154</v>
      </c>
      <c r="J95" s="11" t="s">
        <v>1155</v>
      </c>
      <c r="K95" s="23" t="s">
        <v>26</v>
      </c>
      <c r="L95" s="13" t="s">
        <v>62</v>
      </c>
      <c r="M95" s="13" t="s">
        <v>61</v>
      </c>
      <c r="N95" s="13" t="s">
        <v>61</v>
      </c>
      <c r="O95" s="13" t="s">
        <v>61</v>
      </c>
      <c r="P95" s="11" t="s">
        <v>1156</v>
      </c>
      <c r="Q95" s="23" t="s">
        <v>23</v>
      </c>
      <c r="R95" s="23" t="s">
        <v>14</v>
      </c>
      <c r="S95" s="11" t="s">
        <v>1157</v>
      </c>
      <c r="T95" s="11" t="s">
        <v>1158</v>
      </c>
      <c r="U95" s="11" t="s">
        <v>1159</v>
      </c>
      <c r="V95" s="11" t="s">
        <v>1160</v>
      </c>
      <c r="W95" s="11" t="s">
        <v>1161</v>
      </c>
    </row>
    <row r="96" spans="1:39" ht="409.6">
      <c r="A96" s="23" t="s">
        <v>1162</v>
      </c>
      <c r="B96" s="27" t="s">
        <v>25</v>
      </c>
      <c r="C96" s="40" t="s">
        <v>1163</v>
      </c>
      <c r="D96" s="27" t="s">
        <v>1149</v>
      </c>
      <c r="E96" s="40" t="s">
        <v>1164</v>
      </c>
      <c r="F96" s="40" t="s">
        <v>1165</v>
      </c>
      <c r="G96" s="40" t="s">
        <v>1166</v>
      </c>
      <c r="H96" s="40" t="s">
        <v>1167</v>
      </c>
      <c r="I96" s="40" t="s">
        <v>1168</v>
      </c>
      <c r="J96" s="40" t="s">
        <v>1169</v>
      </c>
      <c r="K96" s="27" t="s">
        <v>21</v>
      </c>
      <c r="L96" s="13" t="s">
        <v>62</v>
      </c>
      <c r="M96" s="13" t="s">
        <v>61</v>
      </c>
      <c r="N96" s="13" t="s">
        <v>61</v>
      </c>
      <c r="O96" s="13" t="s">
        <v>61</v>
      </c>
      <c r="P96" s="40" t="s">
        <v>1170</v>
      </c>
      <c r="Q96" s="27" t="s">
        <v>23</v>
      </c>
      <c r="R96" s="27" t="s">
        <v>14</v>
      </c>
      <c r="S96" s="40" t="s">
        <v>1171</v>
      </c>
      <c r="T96" s="40" t="s">
        <v>1172</v>
      </c>
      <c r="U96" s="40" t="s">
        <v>1173</v>
      </c>
      <c r="V96" s="40" t="s">
        <v>1174</v>
      </c>
      <c r="W96" s="40" t="s">
        <v>1175</v>
      </c>
    </row>
    <row r="97" spans="1:39" ht="409.6">
      <c r="A97" s="23" t="s">
        <v>1176</v>
      </c>
      <c r="B97" s="11" t="s">
        <v>25</v>
      </c>
      <c r="C97" s="11" t="s">
        <v>1177</v>
      </c>
      <c r="D97" s="11" t="s">
        <v>1178</v>
      </c>
      <c r="E97" s="11" t="s">
        <v>1179</v>
      </c>
      <c r="F97" s="11" t="s">
        <v>1180</v>
      </c>
      <c r="G97" s="11" t="s">
        <v>1181</v>
      </c>
      <c r="H97" s="11" t="s">
        <v>1182</v>
      </c>
      <c r="I97" s="11" t="s">
        <v>1183</v>
      </c>
      <c r="J97" s="11" t="s">
        <v>1184</v>
      </c>
      <c r="K97" s="23" t="s">
        <v>21</v>
      </c>
      <c r="L97" s="13" t="s">
        <v>61</v>
      </c>
      <c r="M97" s="13" t="s">
        <v>61</v>
      </c>
      <c r="N97" s="13" t="s">
        <v>61</v>
      </c>
      <c r="O97" s="13" t="s">
        <v>61</v>
      </c>
      <c r="P97" s="11" t="s">
        <v>1185</v>
      </c>
      <c r="Q97" s="23" t="s">
        <v>28</v>
      </c>
      <c r="R97" s="23" t="s">
        <v>14</v>
      </c>
      <c r="S97" s="11" t="s">
        <v>1186</v>
      </c>
      <c r="T97" s="11" t="s">
        <v>1187</v>
      </c>
      <c r="U97" s="11" t="s">
        <v>1179</v>
      </c>
      <c r="V97" s="11" t="s">
        <v>1188</v>
      </c>
      <c r="W97" s="11" t="s">
        <v>1189</v>
      </c>
    </row>
    <row r="98" spans="1:39" ht="335">
      <c r="A98" s="11" t="s">
        <v>1190</v>
      </c>
      <c r="B98" s="40" t="s">
        <v>25</v>
      </c>
      <c r="C98" s="40" t="s">
        <v>1191</v>
      </c>
      <c r="D98" s="40" t="s">
        <v>1192</v>
      </c>
      <c r="E98" s="19" t="s">
        <v>1193</v>
      </c>
      <c r="F98" s="40" t="s">
        <v>1194</v>
      </c>
      <c r="G98" s="40" t="s">
        <v>1195</v>
      </c>
      <c r="H98" s="40" t="s">
        <v>1196</v>
      </c>
      <c r="I98" s="40" t="s">
        <v>1197</v>
      </c>
      <c r="J98" s="40" t="s">
        <v>1198</v>
      </c>
      <c r="K98" s="40" t="s">
        <v>21</v>
      </c>
      <c r="L98" s="13" t="s">
        <v>62</v>
      </c>
      <c r="M98" s="13" t="s">
        <v>61</v>
      </c>
      <c r="N98" s="13" t="s">
        <v>61</v>
      </c>
      <c r="O98" s="13" t="s">
        <v>61</v>
      </c>
      <c r="P98" s="40" t="s">
        <v>1199</v>
      </c>
      <c r="Q98" s="40" t="s">
        <v>23</v>
      </c>
      <c r="R98" s="40" t="s">
        <v>14</v>
      </c>
      <c r="S98" s="40" t="s">
        <v>1200</v>
      </c>
      <c r="T98" s="40" t="s">
        <v>1201</v>
      </c>
      <c r="U98" s="40" t="s">
        <v>1202</v>
      </c>
      <c r="V98" s="40" t="s">
        <v>1203</v>
      </c>
      <c r="W98" s="40" t="s">
        <v>1204</v>
      </c>
    </row>
    <row r="99" spans="1:39" ht="320">
      <c r="A99" s="23" t="s">
        <v>1205</v>
      </c>
      <c r="B99" s="27" t="s">
        <v>25</v>
      </c>
      <c r="C99" s="40" t="s">
        <v>1206</v>
      </c>
      <c r="D99" s="40" t="s">
        <v>1207</v>
      </c>
      <c r="E99" s="39" t="s">
        <v>1208</v>
      </c>
      <c r="F99" s="40" t="s">
        <v>1209</v>
      </c>
      <c r="G99" s="40" t="s">
        <v>1210</v>
      </c>
      <c r="H99" s="40" t="s">
        <v>1211</v>
      </c>
      <c r="I99" s="40" t="s">
        <v>1212</v>
      </c>
      <c r="J99" s="40" t="s">
        <v>1213</v>
      </c>
      <c r="K99" s="27" t="s">
        <v>21</v>
      </c>
      <c r="L99" s="13" t="s">
        <v>62</v>
      </c>
      <c r="M99" s="13" t="s">
        <v>61</v>
      </c>
      <c r="N99" s="13" t="s">
        <v>61</v>
      </c>
      <c r="O99" s="13" t="s">
        <v>61</v>
      </c>
      <c r="P99" s="40" t="s">
        <v>1214</v>
      </c>
      <c r="Q99" s="27" t="s">
        <v>28</v>
      </c>
      <c r="R99" s="27" t="s">
        <v>19</v>
      </c>
      <c r="S99" s="40" t="s">
        <v>1215</v>
      </c>
      <c r="T99" s="40" t="s">
        <v>1216</v>
      </c>
      <c r="U99" s="19" t="s">
        <v>1217</v>
      </c>
      <c r="V99" s="40" t="s">
        <v>1218</v>
      </c>
    </row>
    <row r="100" spans="1:39" ht="409.6">
      <c r="A100" s="11" t="s">
        <v>1219</v>
      </c>
      <c r="B100" s="11" t="s">
        <v>25</v>
      </c>
      <c r="C100" s="18" t="s">
        <v>1220</v>
      </c>
      <c r="D100" s="11" t="s">
        <v>1221</v>
      </c>
      <c r="E100" s="19" t="s">
        <v>1222</v>
      </c>
      <c r="F100" s="18" t="s">
        <v>1223</v>
      </c>
      <c r="G100" s="18" t="s">
        <v>1224</v>
      </c>
      <c r="H100" s="18" t="s">
        <v>1225</v>
      </c>
      <c r="I100" s="11" t="s">
        <v>1226</v>
      </c>
      <c r="J100" s="11" t="s">
        <v>1227</v>
      </c>
      <c r="K100" s="44"/>
      <c r="L100" s="13" t="s">
        <v>62</v>
      </c>
      <c r="M100" s="13" t="s">
        <v>62</v>
      </c>
      <c r="N100" s="13" t="s">
        <v>61</v>
      </c>
      <c r="O100" s="13" t="s">
        <v>61</v>
      </c>
      <c r="P100" s="18" t="s">
        <v>1228</v>
      </c>
      <c r="Q100" s="11" t="s">
        <v>28</v>
      </c>
      <c r="R100" s="11" t="s">
        <v>19</v>
      </c>
      <c r="S100" s="11" t="s">
        <v>1229</v>
      </c>
      <c r="T100" s="11" t="s">
        <v>1230</v>
      </c>
      <c r="U100" s="15"/>
      <c r="V100" s="11" t="s">
        <v>1231</v>
      </c>
      <c r="W100" s="11"/>
    </row>
    <row r="101" spans="1:39" ht="409.6">
      <c r="A101" s="11" t="s">
        <v>1232</v>
      </c>
      <c r="B101" s="11" t="s">
        <v>25</v>
      </c>
      <c r="C101" s="18" t="s">
        <v>1233</v>
      </c>
      <c r="D101" s="11" t="s">
        <v>1234</v>
      </c>
      <c r="E101" s="19" t="s">
        <v>1235</v>
      </c>
      <c r="F101" s="18" t="s">
        <v>1236</v>
      </c>
      <c r="G101" s="18" t="s">
        <v>1237</v>
      </c>
      <c r="H101" s="18" t="s">
        <v>1238</v>
      </c>
      <c r="I101" s="11" t="s">
        <v>1239</v>
      </c>
      <c r="J101" s="11" t="s">
        <v>1240</v>
      </c>
      <c r="K101" s="44"/>
      <c r="L101" s="13" t="s">
        <v>61</v>
      </c>
      <c r="M101" s="13" t="s">
        <v>62</v>
      </c>
      <c r="N101" s="13" t="s">
        <v>62</v>
      </c>
      <c r="O101" s="13" t="s">
        <v>62</v>
      </c>
      <c r="P101" s="18" t="s">
        <v>1241</v>
      </c>
      <c r="Q101" s="11" t="s">
        <v>23</v>
      </c>
      <c r="R101" s="11" t="s">
        <v>19</v>
      </c>
      <c r="S101" s="11" t="s">
        <v>1242</v>
      </c>
      <c r="T101" s="11" t="s">
        <v>1243</v>
      </c>
      <c r="U101" s="15" t="s">
        <v>1244</v>
      </c>
      <c r="V101" s="11" t="s">
        <v>1245</v>
      </c>
      <c r="W101" s="11"/>
    </row>
    <row r="102" spans="1:39" ht="409.6">
      <c r="A102" s="23" t="s">
        <v>1246</v>
      </c>
      <c r="B102" s="23"/>
      <c r="C102" s="11" t="s">
        <v>1247</v>
      </c>
      <c r="D102" s="11" t="s">
        <v>1248</v>
      </c>
      <c r="E102" s="39" t="s">
        <v>1249</v>
      </c>
      <c r="F102" s="11" t="s">
        <v>1250</v>
      </c>
      <c r="G102" s="11" t="s">
        <v>1251</v>
      </c>
      <c r="H102" s="11" t="s">
        <v>1252</v>
      </c>
      <c r="I102" s="11" t="s">
        <v>1253</v>
      </c>
      <c r="J102" s="11" t="s">
        <v>1254</v>
      </c>
      <c r="K102" s="23" t="s">
        <v>21</v>
      </c>
      <c r="L102" s="13" t="s">
        <v>62</v>
      </c>
      <c r="M102" s="13" t="s">
        <v>62</v>
      </c>
      <c r="N102" s="13" t="s">
        <v>61</v>
      </c>
      <c r="O102" s="13" t="s">
        <v>62</v>
      </c>
      <c r="P102" s="11" t="s">
        <v>1255</v>
      </c>
      <c r="Q102" s="23" t="s">
        <v>28</v>
      </c>
      <c r="R102" s="23" t="s">
        <v>19</v>
      </c>
      <c r="S102" s="11" t="s">
        <v>1256</v>
      </c>
      <c r="T102" s="11" t="s">
        <v>1257</v>
      </c>
      <c r="U102" s="11" t="s">
        <v>1258</v>
      </c>
      <c r="V102" s="11" t="s">
        <v>1259</v>
      </c>
      <c r="W102" s="22"/>
    </row>
    <row r="103" spans="1:39" ht="409.6">
      <c r="A103" s="11" t="s">
        <v>1260</v>
      </c>
      <c r="B103" s="11" t="s">
        <v>1261</v>
      </c>
      <c r="C103" s="18" t="s">
        <v>1262</v>
      </c>
      <c r="D103" s="11" t="s">
        <v>1263</v>
      </c>
      <c r="E103" s="19" t="s">
        <v>1264</v>
      </c>
      <c r="F103" s="18" t="s">
        <v>1265</v>
      </c>
      <c r="G103" s="18" t="s">
        <v>1266</v>
      </c>
      <c r="H103" s="18" t="s">
        <v>1267</v>
      </c>
      <c r="I103" s="11" t="s">
        <v>1268</v>
      </c>
      <c r="J103" s="11" t="s">
        <v>1269</v>
      </c>
      <c r="K103" s="44"/>
      <c r="L103" s="13" t="s">
        <v>61</v>
      </c>
      <c r="M103" s="13" t="s">
        <v>62</v>
      </c>
      <c r="N103" s="13" t="s">
        <v>62</v>
      </c>
      <c r="O103" s="13" t="s">
        <v>62</v>
      </c>
      <c r="P103" s="18" t="s">
        <v>1270</v>
      </c>
      <c r="Q103" s="11" t="s">
        <v>28</v>
      </c>
      <c r="R103" s="11" t="s">
        <v>14</v>
      </c>
      <c r="S103" s="11" t="s">
        <v>1271</v>
      </c>
      <c r="T103" s="11" t="s">
        <v>1272</v>
      </c>
      <c r="U103" s="15" t="s">
        <v>1273</v>
      </c>
      <c r="V103" s="11" t="s">
        <v>1274</v>
      </c>
      <c r="W103" s="11" t="s">
        <v>1275</v>
      </c>
    </row>
    <row r="104" spans="1:39" ht="409.5" customHeight="1">
      <c r="A104" s="11" t="s">
        <v>1276</v>
      </c>
      <c r="B104" s="11" t="s">
        <v>1277</v>
      </c>
      <c r="C104" s="11" t="s">
        <v>1278</v>
      </c>
      <c r="D104" s="11" t="s">
        <v>1279</v>
      </c>
      <c r="E104" s="11" t="s">
        <v>1280</v>
      </c>
      <c r="F104" s="18" t="s">
        <v>1281</v>
      </c>
      <c r="G104" s="18" t="s">
        <v>1282</v>
      </c>
      <c r="H104" s="18" t="s">
        <v>1283</v>
      </c>
      <c r="I104" s="11" t="s">
        <v>1284</v>
      </c>
      <c r="J104" s="11" t="s">
        <v>1285</v>
      </c>
      <c r="K104" s="44"/>
      <c r="L104" s="13" t="s">
        <v>61</v>
      </c>
      <c r="M104" s="13" t="s">
        <v>61</v>
      </c>
      <c r="N104" s="13" t="s">
        <v>61</v>
      </c>
      <c r="O104" s="13" t="s">
        <v>62</v>
      </c>
      <c r="P104" s="18" t="s">
        <v>1286</v>
      </c>
      <c r="Q104" s="11" t="s">
        <v>28</v>
      </c>
      <c r="R104" s="11" t="s">
        <v>14</v>
      </c>
      <c r="S104" s="11" t="s">
        <v>1287</v>
      </c>
      <c r="T104" s="11" t="s">
        <v>1288</v>
      </c>
      <c r="U104" s="11" t="s">
        <v>1289</v>
      </c>
      <c r="V104" s="11" t="s">
        <v>1290</v>
      </c>
      <c r="W104" s="11" t="s">
        <v>1291</v>
      </c>
    </row>
    <row r="105" spans="1:39" ht="388">
      <c r="A105" s="11" t="s">
        <v>1292</v>
      </c>
      <c r="B105" s="11"/>
      <c r="C105" s="11" t="s">
        <v>1293</v>
      </c>
      <c r="D105" s="11" t="s">
        <v>1294</v>
      </c>
      <c r="E105" s="19" t="s">
        <v>1295</v>
      </c>
      <c r="F105" s="18" t="s">
        <v>1296</v>
      </c>
      <c r="G105" s="11" t="s">
        <v>1297</v>
      </c>
      <c r="H105" s="11" t="s">
        <v>1298</v>
      </c>
      <c r="I105" s="11" t="s">
        <v>1299</v>
      </c>
      <c r="J105" s="11" t="s">
        <v>1300</v>
      </c>
      <c r="K105" s="11"/>
      <c r="L105" s="13" t="s">
        <v>62</v>
      </c>
      <c r="M105" s="13" t="s">
        <v>61</v>
      </c>
      <c r="N105" s="13" t="s">
        <v>62</v>
      </c>
      <c r="O105" s="13" t="s">
        <v>61</v>
      </c>
      <c r="P105" s="11" t="s">
        <v>1301</v>
      </c>
      <c r="Q105" s="11" t="s">
        <v>28</v>
      </c>
      <c r="R105" s="11" t="s">
        <v>19</v>
      </c>
      <c r="S105" s="11" t="s">
        <v>1302</v>
      </c>
      <c r="T105" s="11" t="s">
        <v>1303</v>
      </c>
      <c r="U105" s="11" t="s">
        <v>1304</v>
      </c>
      <c r="V105" s="11" t="s">
        <v>1305</v>
      </c>
      <c r="W105" s="11"/>
    </row>
    <row r="106" spans="1:39" ht="19">
      <c r="A106" s="45" t="s">
        <v>1306</v>
      </c>
      <c r="B106" s="23"/>
      <c r="C106" s="23"/>
      <c r="D106" s="23"/>
      <c r="E106" s="23"/>
      <c r="F106" s="23"/>
      <c r="G106" s="23"/>
      <c r="H106" s="23"/>
      <c r="I106" s="23"/>
      <c r="J106" s="23"/>
      <c r="K106" s="23"/>
      <c r="L106" s="13"/>
      <c r="M106" s="13"/>
      <c r="N106" s="13"/>
      <c r="O106" s="13"/>
      <c r="P106" s="23"/>
      <c r="Q106" s="23"/>
      <c r="R106" s="23"/>
      <c r="S106" s="23"/>
      <c r="T106" s="23"/>
      <c r="U106" s="23"/>
      <c r="V106" s="23"/>
      <c r="W106" s="22"/>
    </row>
    <row r="107" spans="1:39" ht="340">
      <c r="A107" s="11" t="s">
        <v>1307</v>
      </c>
      <c r="B107" s="23"/>
      <c r="C107" s="11" t="s">
        <v>1308</v>
      </c>
      <c r="D107" s="11" t="s">
        <v>1309</v>
      </c>
      <c r="E107" s="39"/>
      <c r="F107" s="11" t="s">
        <v>1310</v>
      </c>
      <c r="G107" s="11" t="s">
        <v>1311</v>
      </c>
      <c r="H107" s="11" t="s">
        <v>1312</v>
      </c>
      <c r="I107" s="11" t="s">
        <v>1313</v>
      </c>
      <c r="J107" s="11" t="s">
        <v>1314</v>
      </c>
      <c r="K107" s="23" t="s">
        <v>16</v>
      </c>
      <c r="L107" s="13" t="s">
        <v>62</v>
      </c>
      <c r="M107" s="13" t="s">
        <v>61</v>
      </c>
      <c r="N107" s="13" t="s">
        <v>62</v>
      </c>
      <c r="O107" s="13" t="s">
        <v>61</v>
      </c>
      <c r="P107" s="11" t="s">
        <v>1315</v>
      </c>
      <c r="Q107" s="23" t="s">
        <v>30</v>
      </c>
      <c r="R107" s="23" t="s">
        <v>19</v>
      </c>
      <c r="S107" s="11" t="s">
        <v>1316</v>
      </c>
      <c r="T107" s="11" t="s">
        <v>1317</v>
      </c>
      <c r="U107" s="23"/>
      <c r="V107" s="11" t="s">
        <v>1318</v>
      </c>
      <c r="W107" s="11" t="s">
        <v>1319</v>
      </c>
    </row>
    <row r="108" spans="1:39" ht="409.6">
      <c r="A108" s="11" t="s">
        <v>1320</v>
      </c>
      <c r="B108" s="11"/>
      <c r="C108" s="11" t="s">
        <v>1321</v>
      </c>
      <c r="D108" s="11" t="s">
        <v>1322</v>
      </c>
      <c r="E108" s="11"/>
      <c r="F108" s="11" t="s">
        <v>1323</v>
      </c>
      <c r="G108" s="11" t="s">
        <v>1324</v>
      </c>
      <c r="H108" s="11" t="s">
        <v>1325</v>
      </c>
      <c r="I108" s="11" t="s">
        <v>1326</v>
      </c>
      <c r="J108" s="11" t="s">
        <v>1327</v>
      </c>
      <c r="K108" s="11" t="s">
        <v>16</v>
      </c>
      <c r="L108" s="13" t="s">
        <v>62</v>
      </c>
      <c r="M108" s="13" t="s">
        <v>61</v>
      </c>
      <c r="N108" s="13" t="s">
        <v>62</v>
      </c>
      <c r="O108" s="13" t="s">
        <v>62</v>
      </c>
      <c r="P108" s="11" t="s">
        <v>1328</v>
      </c>
      <c r="Q108" s="11" t="s">
        <v>28</v>
      </c>
      <c r="R108" s="11" t="s">
        <v>14</v>
      </c>
      <c r="S108" s="11" t="s">
        <v>1329</v>
      </c>
      <c r="T108" s="11" t="s">
        <v>1330</v>
      </c>
      <c r="U108" s="11" t="s">
        <v>1331</v>
      </c>
      <c r="V108" s="11" t="s">
        <v>1332</v>
      </c>
      <c r="W108" s="22"/>
    </row>
    <row r="109" spans="1:39" ht="272">
      <c r="A109" s="11" t="s">
        <v>1333</v>
      </c>
      <c r="B109" s="29"/>
      <c r="C109" s="11" t="s">
        <v>1334</v>
      </c>
      <c r="D109" s="11" t="s">
        <v>1335</v>
      </c>
      <c r="E109" s="29"/>
      <c r="F109" s="11" t="s">
        <v>1336</v>
      </c>
      <c r="G109" s="11" t="s">
        <v>1337</v>
      </c>
      <c r="H109" s="11" t="s">
        <v>1338</v>
      </c>
      <c r="I109" s="29" t="s">
        <v>1339</v>
      </c>
      <c r="J109" s="29" t="s">
        <v>1340</v>
      </c>
      <c r="K109" s="29" t="s">
        <v>16</v>
      </c>
      <c r="L109" s="29" t="s">
        <v>62</v>
      </c>
      <c r="M109" s="29" t="s">
        <v>62</v>
      </c>
      <c r="N109" s="11" t="s">
        <v>61</v>
      </c>
      <c r="O109" s="11" t="s">
        <v>61</v>
      </c>
      <c r="P109" s="11" t="s">
        <v>1341</v>
      </c>
      <c r="Q109" s="11" t="s">
        <v>28</v>
      </c>
      <c r="R109" s="11" t="s">
        <v>19</v>
      </c>
      <c r="S109" s="11" t="s">
        <v>1342</v>
      </c>
      <c r="T109" s="11" t="s">
        <v>1343</v>
      </c>
      <c r="U109" s="15" t="s">
        <v>1344</v>
      </c>
      <c r="V109" s="11" t="s">
        <v>1345</v>
      </c>
      <c r="W109" s="22"/>
      <c r="X109" s="22"/>
      <c r="Y109" s="22"/>
      <c r="Z109" s="22"/>
      <c r="AA109" s="22"/>
      <c r="AB109" s="22"/>
      <c r="AC109" s="22"/>
      <c r="AD109" s="22"/>
      <c r="AE109" s="22"/>
      <c r="AF109" s="22"/>
      <c r="AG109" s="22"/>
      <c r="AH109" s="22"/>
      <c r="AI109" s="22"/>
      <c r="AJ109" s="22"/>
      <c r="AK109" s="22"/>
      <c r="AL109" s="22"/>
      <c r="AM109" s="22"/>
    </row>
    <row r="110" spans="1:39" ht="404">
      <c r="A110" s="11" t="s">
        <v>1346</v>
      </c>
      <c r="B110" s="23"/>
      <c r="C110" s="11" t="s">
        <v>1347</v>
      </c>
      <c r="D110" s="11" t="s">
        <v>1348</v>
      </c>
      <c r="E110" s="11" t="s">
        <v>1349</v>
      </c>
      <c r="F110" s="11" t="s">
        <v>1350</v>
      </c>
      <c r="G110" s="11" t="s">
        <v>1351</v>
      </c>
      <c r="H110" s="11" t="s">
        <v>1352</v>
      </c>
      <c r="I110" s="23"/>
      <c r="J110" s="11" t="s">
        <v>1353</v>
      </c>
      <c r="K110" s="23" t="s">
        <v>21</v>
      </c>
      <c r="L110" s="23" t="s">
        <v>61</v>
      </c>
      <c r="M110" s="23" t="s">
        <v>1354</v>
      </c>
      <c r="N110" s="23" t="s">
        <v>1354</v>
      </c>
      <c r="O110" s="23" t="s">
        <v>1354</v>
      </c>
      <c r="P110" s="11" t="s">
        <v>1355</v>
      </c>
      <c r="Q110" s="23" t="s">
        <v>28</v>
      </c>
      <c r="R110" s="23" t="s">
        <v>19</v>
      </c>
      <c r="S110" s="11" t="s">
        <v>1356</v>
      </c>
      <c r="T110" s="11" t="s">
        <v>1357</v>
      </c>
      <c r="U110" s="11" t="s">
        <v>1358</v>
      </c>
      <c r="V110" s="11" t="s">
        <v>1359</v>
      </c>
      <c r="W110" s="22"/>
      <c r="X110" s="22"/>
      <c r="Y110" s="22"/>
      <c r="Z110" s="22"/>
      <c r="AA110" s="22"/>
      <c r="AB110" s="22"/>
      <c r="AC110" s="22"/>
      <c r="AD110" s="22"/>
      <c r="AE110" s="22"/>
      <c r="AF110" s="22"/>
      <c r="AG110" s="22"/>
      <c r="AH110" s="22"/>
      <c r="AI110" s="22"/>
      <c r="AJ110" s="22"/>
      <c r="AK110" s="22"/>
      <c r="AL110" s="22"/>
      <c r="AM110" s="22"/>
    </row>
    <row r="111" spans="1:39" ht="409.5" customHeight="1">
      <c r="A111" s="23" t="s">
        <v>1360</v>
      </c>
      <c r="B111" s="23" t="s">
        <v>15</v>
      </c>
      <c r="C111" s="11" t="s">
        <v>1361</v>
      </c>
      <c r="D111" s="11" t="s">
        <v>1362</v>
      </c>
      <c r="E111" s="11" t="s">
        <v>1363</v>
      </c>
      <c r="F111" s="11" t="s">
        <v>1364</v>
      </c>
      <c r="G111" s="11" t="s">
        <v>1365</v>
      </c>
      <c r="H111" s="11" t="s">
        <v>1366</v>
      </c>
      <c r="I111" s="23"/>
      <c r="J111" s="11" t="s">
        <v>1367</v>
      </c>
      <c r="K111" s="23" t="s">
        <v>21</v>
      </c>
      <c r="L111" s="23" t="s">
        <v>1354</v>
      </c>
      <c r="M111" s="23" t="s">
        <v>1354</v>
      </c>
      <c r="N111" s="23" t="s">
        <v>1354</v>
      </c>
      <c r="O111" s="23" t="s">
        <v>1354</v>
      </c>
      <c r="P111" s="11" t="s">
        <v>1368</v>
      </c>
      <c r="Q111" s="23" t="s">
        <v>28</v>
      </c>
      <c r="R111" s="23" t="s">
        <v>19</v>
      </c>
      <c r="S111" s="11" t="s">
        <v>1369</v>
      </c>
      <c r="T111" s="11" t="s">
        <v>1370</v>
      </c>
      <c r="U111" s="11" t="s">
        <v>1371</v>
      </c>
      <c r="V111" s="11" t="s">
        <v>1372</v>
      </c>
      <c r="W111" s="23"/>
      <c r="X111" s="22"/>
      <c r="Y111" s="22"/>
      <c r="Z111" s="22"/>
      <c r="AA111" s="22"/>
      <c r="AB111" s="22"/>
      <c r="AC111" s="22"/>
      <c r="AD111" s="22"/>
      <c r="AE111" s="22"/>
      <c r="AF111" s="22"/>
      <c r="AG111" s="22"/>
      <c r="AH111" s="22"/>
      <c r="AI111" s="22"/>
      <c r="AJ111" s="22"/>
      <c r="AK111" s="22"/>
      <c r="AL111" s="22"/>
      <c r="AM111" s="22"/>
    </row>
    <row r="112" spans="1:39" ht="407.25" customHeight="1">
      <c r="A112" s="11" t="s">
        <v>1373</v>
      </c>
      <c r="B112" s="23" t="s">
        <v>15</v>
      </c>
      <c r="C112" s="11" t="s">
        <v>1374</v>
      </c>
      <c r="D112" s="11" t="s">
        <v>1375</v>
      </c>
      <c r="E112" s="39" t="s">
        <v>1376</v>
      </c>
      <c r="F112" s="11" t="s">
        <v>1377</v>
      </c>
      <c r="G112" s="11" t="s">
        <v>1378</v>
      </c>
      <c r="H112" s="11" t="s">
        <v>1379</v>
      </c>
      <c r="I112" s="11" t="s">
        <v>1380</v>
      </c>
      <c r="J112" s="11" t="s">
        <v>1381</v>
      </c>
      <c r="K112" s="23"/>
      <c r="L112" s="23" t="s">
        <v>62</v>
      </c>
      <c r="M112" s="23" t="s">
        <v>61</v>
      </c>
      <c r="N112" s="23" t="s">
        <v>62</v>
      </c>
      <c r="O112" s="23" t="s">
        <v>61</v>
      </c>
      <c r="P112" s="11" t="s">
        <v>1382</v>
      </c>
      <c r="Q112" s="23" t="s">
        <v>23</v>
      </c>
      <c r="R112" s="23" t="s">
        <v>19</v>
      </c>
      <c r="S112" s="11" t="s">
        <v>1383</v>
      </c>
      <c r="T112" s="11" t="s">
        <v>1384</v>
      </c>
      <c r="U112" s="11" t="s">
        <v>1385</v>
      </c>
      <c r="V112" s="11" t="s">
        <v>1386</v>
      </c>
      <c r="W112" s="23"/>
      <c r="X112" s="23"/>
      <c r="Y112" s="23"/>
      <c r="Z112" s="23"/>
      <c r="AA112" s="23"/>
      <c r="AB112" s="23"/>
      <c r="AC112" s="23"/>
      <c r="AD112" s="22"/>
      <c r="AE112" s="22"/>
      <c r="AF112" s="22"/>
      <c r="AG112" s="22"/>
      <c r="AH112" s="22"/>
      <c r="AI112" s="22"/>
      <c r="AJ112" s="22"/>
      <c r="AK112" s="22"/>
      <c r="AL112" s="22"/>
      <c r="AM112" s="22"/>
    </row>
    <row r="113" spans="1:39" ht="17">
      <c r="A113" s="29" t="s">
        <v>1387</v>
      </c>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row>
    <row r="114" spans="1:39" ht="407" customHeight="1">
      <c r="A114" s="11" t="s">
        <v>1388</v>
      </c>
      <c r="B114" s="11" t="s">
        <v>1389</v>
      </c>
      <c r="C114" s="11" t="s">
        <v>1390</v>
      </c>
      <c r="D114" s="11" t="s">
        <v>1391</v>
      </c>
      <c r="E114" s="11" t="s">
        <v>1392</v>
      </c>
      <c r="F114" s="11" t="s">
        <v>1393</v>
      </c>
      <c r="G114" s="11" t="s">
        <v>1394</v>
      </c>
      <c r="H114" s="11" t="s">
        <v>1395</v>
      </c>
      <c r="I114" s="11" t="s">
        <v>1396</v>
      </c>
      <c r="J114" s="11" t="s">
        <v>1397</v>
      </c>
      <c r="K114" s="11"/>
      <c r="L114" s="11" t="s">
        <v>62</v>
      </c>
      <c r="M114" s="11" t="s">
        <v>61</v>
      </c>
      <c r="N114" s="11" t="s">
        <v>61</v>
      </c>
      <c r="O114" s="11" t="s">
        <v>61</v>
      </c>
      <c r="P114" s="11" t="s">
        <v>1398</v>
      </c>
      <c r="Q114" s="11" t="s">
        <v>28</v>
      </c>
      <c r="R114" s="11" t="s">
        <v>14</v>
      </c>
      <c r="S114" s="11" t="s">
        <v>1399</v>
      </c>
      <c r="T114" s="11" t="s">
        <v>1400</v>
      </c>
      <c r="U114" s="11" t="s">
        <v>1401</v>
      </c>
      <c r="V114" s="11" t="s">
        <v>1402</v>
      </c>
      <c r="W114" s="11" t="s">
        <v>1403</v>
      </c>
      <c r="X114" s="22"/>
      <c r="Y114" s="22"/>
      <c r="Z114" s="22"/>
      <c r="AA114" s="22"/>
      <c r="AB114" s="22"/>
      <c r="AC114" s="22"/>
      <c r="AD114" s="22"/>
      <c r="AE114" s="22"/>
      <c r="AF114" s="22"/>
      <c r="AG114" s="22"/>
      <c r="AH114" s="22"/>
      <c r="AI114" s="22"/>
      <c r="AJ114" s="22"/>
      <c r="AK114" s="22"/>
      <c r="AL114" s="22"/>
      <c r="AM114" s="22"/>
    </row>
    <row r="115" spans="1:39" s="47" customFormat="1" ht="30" customHeight="1">
      <c r="A115" s="46" t="s">
        <v>1404</v>
      </c>
    </row>
    <row r="116" spans="1:39" s="29" customFormat="1" ht="102">
      <c r="A116" s="13" t="s">
        <v>1405</v>
      </c>
      <c r="B116" s="13" t="s">
        <v>1406</v>
      </c>
      <c r="C116" s="13" t="s">
        <v>1407</v>
      </c>
      <c r="D116" s="13" t="s">
        <v>1408</v>
      </c>
      <c r="E116" s="15" t="s">
        <v>1409</v>
      </c>
      <c r="F116" s="13" t="s">
        <v>1410</v>
      </c>
      <c r="G116" s="13" t="s">
        <v>1411</v>
      </c>
      <c r="H116" s="13" t="s">
        <v>1412</v>
      </c>
      <c r="I116" s="15" t="s">
        <v>1413</v>
      </c>
      <c r="J116" s="11" t="s">
        <v>1414</v>
      </c>
      <c r="K116" s="13"/>
      <c r="L116" s="13" t="s">
        <v>1415</v>
      </c>
      <c r="M116" s="13" t="s">
        <v>1416</v>
      </c>
      <c r="N116" s="13">
        <v>5</v>
      </c>
      <c r="O116" s="13" t="s">
        <v>14</v>
      </c>
      <c r="P116" s="13" t="s">
        <v>1417</v>
      </c>
      <c r="Q116" s="13" t="s">
        <v>1418</v>
      </c>
      <c r="R116" s="13" t="s">
        <v>1419</v>
      </c>
      <c r="S116" s="13" t="s">
        <v>1420</v>
      </c>
    </row>
    <row r="117" spans="1:39" s="11" customFormat="1" ht="85">
      <c r="A117" s="13" t="s">
        <v>1421</v>
      </c>
      <c r="B117" s="18" t="s">
        <v>1422</v>
      </c>
      <c r="C117" s="13" t="s">
        <v>1423</v>
      </c>
      <c r="D117" s="13" t="s">
        <v>1408</v>
      </c>
      <c r="E117" s="15" t="s">
        <v>1424</v>
      </c>
      <c r="F117" s="13" t="s">
        <v>1425</v>
      </c>
      <c r="G117" s="13" t="s">
        <v>1426</v>
      </c>
      <c r="H117" s="13" t="s">
        <v>1427</v>
      </c>
      <c r="I117" s="15" t="s">
        <v>1428</v>
      </c>
      <c r="J117" s="11" t="s">
        <v>1429</v>
      </c>
      <c r="K117" s="13"/>
      <c r="L117" s="13" t="s">
        <v>1430</v>
      </c>
      <c r="M117" s="13" t="s">
        <v>1431</v>
      </c>
      <c r="N117" s="13">
        <v>5</v>
      </c>
      <c r="O117" s="13" t="s">
        <v>14</v>
      </c>
      <c r="P117" s="13" t="s">
        <v>1432</v>
      </c>
      <c r="Q117" s="13" t="s">
        <v>1433</v>
      </c>
      <c r="R117" s="13" t="s">
        <v>1424</v>
      </c>
      <c r="S117" s="13" t="s">
        <v>1434</v>
      </c>
    </row>
    <row r="118" spans="1:39" s="29" customFormat="1" ht="153">
      <c r="A118" s="13" t="s">
        <v>1435</v>
      </c>
      <c r="B118" s="11" t="s">
        <v>1436</v>
      </c>
      <c r="C118" s="11" t="s">
        <v>1437</v>
      </c>
      <c r="D118" s="11" t="s">
        <v>1438</v>
      </c>
      <c r="E118" s="15" t="s">
        <v>1439</v>
      </c>
      <c r="F118" s="13" t="s">
        <v>1440</v>
      </c>
      <c r="G118" s="11" t="s">
        <v>1441</v>
      </c>
      <c r="H118" s="11" t="s">
        <v>1442</v>
      </c>
      <c r="I118" s="11" t="s">
        <v>1443</v>
      </c>
      <c r="J118" s="11" t="s">
        <v>1444</v>
      </c>
      <c r="K118" s="11" t="s">
        <v>16</v>
      </c>
      <c r="L118" s="11" t="s">
        <v>1445</v>
      </c>
      <c r="M118" s="11" t="s">
        <v>1446</v>
      </c>
      <c r="N118" s="11">
        <v>4</v>
      </c>
      <c r="O118" s="11" t="s">
        <v>19</v>
      </c>
      <c r="P118" s="11" t="s">
        <v>1447</v>
      </c>
      <c r="Q118" s="11" t="s">
        <v>1448</v>
      </c>
      <c r="R118" s="11" t="s">
        <v>1449</v>
      </c>
      <c r="S118" s="11" t="s">
        <v>1450</v>
      </c>
    </row>
    <row r="119" spans="1:39" s="42" customFormat="1" ht="176">
      <c r="A119" s="40" t="s">
        <v>1451</v>
      </c>
      <c r="B119" s="40" t="s">
        <v>1452</v>
      </c>
      <c r="C119" s="40" t="s">
        <v>1453</v>
      </c>
      <c r="D119" s="40" t="s">
        <v>1454</v>
      </c>
      <c r="E119" s="19" t="s">
        <v>1455</v>
      </c>
      <c r="F119" s="40" t="s">
        <v>1456</v>
      </c>
      <c r="G119" s="40" t="s">
        <v>1457</v>
      </c>
      <c r="H119" s="40" t="s">
        <v>1458</v>
      </c>
      <c r="I119" s="40" t="s">
        <v>1459</v>
      </c>
      <c r="J119" s="40" t="s">
        <v>1460</v>
      </c>
      <c r="K119" s="40" t="s">
        <v>16</v>
      </c>
      <c r="L119" s="40" t="s">
        <v>1461</v>
      </c>
      <c r="M119" s="40" t="s">
        <v>1462</v>
      </c>
      <c r="N119" s="40">
        <v>5</v>
      </c>
      <c r="O119" s="40" t="s">
        <v>19</v>
      </c>
      <c r="P119" s="40" t="s">
        <v>1463</v>
      </c>
      <c r="Q119" s="40" t="s">
        <v>1464</v>
      </c>
      <c r="R119" s="40" t="s">
        <v>1465</v>
      </c>
      <c r="S119" s="40" t="s">
        <v>1466</v>
      </c>
      <c r="T119" s="29"/>
      <c r="U119" s="29"/>
      <c r="V119" s="29"/>
      <c r="W119" s="29"/>
      <c r="X119" s="29"/>
      <c r="Y119" s="29"/>
      <c r="Z119" s="29"/>
      <c r="AA119" s="29"/>
      <c r="AB119" s="29"/>
      <c r="AC119" s="29"/>
      <c r="AD119" s="29"/>
      <c r="AE119" s="29"/>
      <c r="AF119" s="29"/>
      <c r="AG119" s="29"/>
      <c r="AH119" s="29"/>
      <c r="AI119" s="29"/>
      <c r="AJ119" s="29"/>
      <c r="AK119" s="29"/>
      <c r="AL119" s="29"/>
      <c r="AM119" s="29"/>
    </row>
    <row r="120" spans="1:39" s="11" customFormat="1" ht="221">
      <c r="A120" s="11" t="s">
        <v>1467</v>
      </c>
      <c r="B120" s="11" t="s">
        <v>1468</v>
      </c>
      <c r="C120" s="11" t="s">
        <v>1469</v>
      </c>
      <c r="D120" s="11" t="s">
        <v>1470</v>
      </c>
      <c r="E120" s="19" t="s">
        <v>1471</v>
      </c>
      <c r="F120" s="11" t="s">
        <v>1472</v>
      </c>
      <c r="G120" s="11" t="s">
        <v>1473</v>
      </c>
      <c r="H120" s="11" t="s">
        <v>1474</v>
      </c>
      <c r="I120" s="11" t="s">
        <v>1475</v>
      </c>
      <c r="J120" s="11" t="s">
        <v>1476</v>
      </c>
      <c r="K120" s="11" t="s">
        <v>16</v>
      </c>
      <c r="L120" s="11" t="s">
        <v>1477</v>
      </c>
      <c r="M120" s="11" t="s">
        <v>1478</v>
      </c>
      <c r="N120" s="11">
        <v>5</v>
      </c>
      <c r="O120" s="11" t="s">
        <v>212</v>
      </c>
      <c r="P120" s="11" t="s">
        <v>1479</v>
      </c>
      <c r="Q120" s="11" t="s">
        <v>1480</v>
      </c>
      <c r="R120" s="11" t="s">
        <v>1481</v>
      </c>
      <c r="S120" s="11" t="s">
        <v>1482</v>
      </c>
    </row>
    <row r="121" spans="1:39" s="11" customFormat="1" ht="255">
      <c r="A121" s="11" t="s">
        <v>1483</v>
      </c>
      <c r="B121" s="11" t="s">
        <v>1484</v>
      </c>
      <c r="C121" s="11" t="s">
        <v>1485</v>
      </c>
      <c r="D121" s="11" t="s">
        <v>1408</v>
      </c>
      <c r="E121" s="19" t="s">
        <v>1486</v>
      </c>
      <c r="F121" s="11" t="s">
        <v>1487</v>
      </c>
      <c r="G121" s="11" t="s">
        <v>1488</v>
      </c>
      <c r="H121" s="11" t="s">
        <v>1489</v>
      </c>
      <c r="I121" s="11" t="s">
        <v>1490</v>
      </c>
      <c r="J121" s="11" t="s">
        <v>1491</v>
      </c>
      <c r="K121" s="11" t="s">
        <v>16</v>
      </c>
      <c r="L121" s="11" t="s">
        <v>1492</v>
      </c>
      <c r="M121" s="11" t="s">
        <v>1493</v>
      </c>
      <c r="N121" s="11">
        <v>5</v>
      </c>
      <c r="O121" s="11" t="s">
        <v>19</v>
      </c>
      <c r="P121" s="11" t="s">
        <v>1494</v>
      </c>
      <c r="Q121" s="11" t="s">
        <v>1495</v>
      </c>
      <c r="R121" s="11" t="s">
        <v>1496</v>
      </c>
      <c r="S121" s="11" t="s">
        <v>1497</v>
      </c>
    </row>
    <row r="122" spans="1:39" s="11" customFormat="1" ht="136">
      <c r="A122" s="11" t="s">
        <v>1498</v>
      </c>
      <c r="B122" s="11" t="s">
        <v>10</v>
      </c>
      <c r="C122" s="11" t="s">
        <v>1499</v>
      </c>
      <c r="D122" s="11" t="s">
        <v>1470</v>
      </c>
      <c r="E122" s="19" t="s">
        <v>1500</v>
      </c>
      <c r="F122" s="11" t="s">
        <v>1501</v>
      </c>
      <c r="G122" s="11" t="s">
        <v>1502</v>
      </c>
      <c r="H122" s="11" t="s">
        <v>1503</v>
      </c>
      <c r="I122" s="11" t="s">
        <v>1504</v>
      </c>
      <c r="J122" s="11" t="s">
        <v>1505</v>
      </c>
      <c r="K122" s="11" t="s">
        <v>11</v>
      </c>
      <c r="L122" s="11" t="s">
        <v>1506</v>
      </c>
      <c r="M122" s="11" t="s">
        <v>1507</v>
      </c>
      <c r="N122" s="11">
        <v>4</v>
      </c>
      <c r="O122" s="11" t="s">
        <v>14</v>
      </c>
      <c r="P122" s="11" t="s">
        <v>1508</v>
      </c>
      <c r="Q122" s="11" t="s">
        <v>1509</v>
      </c>
      <c r="R122" s="11" t="s">
        <v>1510</v>
      </c>
      <c r="S122" s="11" t="s">
        <v>1511</v>
      </c>
    </row>
    <row r="123" spans="1:39" s="11" customFormat="1" ht="238">
      <c r="A123" s="11" t="s">
        <v>1512</v>
      </c>
      <c r="B123" s="11" t="s">
        <v>10</v>
      </c>
      <c r="C123" s="11" t="s">
        <v>1513</v>
      </c>
      <c r="D123" s="11" t="s">
        <v>1454</v>
      </c>
      <c r="E123" s="19" t="s">
        <v>1514</v>
      </c>
      <c r="F123" s="11" t="s">
        <v>1515</v>
      </c>
      <c r="G123" s="11" t="s">
        <v>1516</v>
      </c>
      <c r="H123" s="11" t="s">
        <v>1517</v>
      </c>
      <c r="I123" s="11" t="s">
        <v>1518</v>
      </c>
      <c r="J123" s="11" t="s">
        <v>1519</v>
      </c>
      <c r="K123" s="11" t="s">
        <v>11</v>
      </c>
      <c r="L123" s="11" t="s">
        <v>1520</v>
      </c>
      <c r="M123" s="11" t="s">
        <v>1521</v>
      </c>
      <c r="N123" s="11">
        <v>4</v>
      </c>
      <c r="O123" s="11" t="s">
        <v>14</v>
      </c>
      <c r="P123" s="11" t="s">
        <v>1522</v>
      </c>
      <c r="Q123" s="11" t="s">
        <v>1523</v>
      </c>
      <c r="R123" s="11" t="s">
        <v>1524</v>
      </c>
      <c r="S123" s="11" t="s">
        <v>1525</v>
      </c>
    </row>
    <row r="124" spans="1:39" s="11" customFormat="1" ht="153">
      <c r="A124" s="11" t="s">
        <v>1526</v>
      </c>
      <c r="B124" s="11" t="s">
        <v>10</v>
      </c>
      <c r="C124" s="11" t="s">
        <v>1527</v>
      </c>
      <c r="D124" s="11" t="s">
        <v>1408</v>
      </c>
      <c r="E124" s="19" t="s">
        <v>1528</v>
      </c>
      <c r="F124" s="11" t="s">
        <v>1529</v>
      </c>
      <c r="G124" s="11" t="s">
        <v>1530</v>
      </c>
      <c r="H124" s="11" t="s">
        <v>1531</v>
      </c>
      <c r="I124" s="11" t="s">
        <v>1532</v>
      </c>
      <c r="J124" s="11" t="s">
        <v>1533</v>
      </c>
      <c r="K124" s="11" t="s">
        <v>16</v>
      </c>
      <c r="L124" s="11" t="s">
        <v>1534</v>
      </c>
      <c r="M124" s="11" t="s">
        <v>1535</v>
      </c>
      <c r="N124" s="11">
        <v>3</v>
      </c>
      <c r="O124" s="11" t="s">
        <v>19</v>
      </c>
      <c r="P124" s="11" t="s">
        <v>1536</v>
      </c>
      <c r="Q124" s="11" t="s">
        <v>1537</v>
      </c>
      <c r="R124" s="11" t="s">
        <v>1538</v>
      </c>
      <c r="S124" s="11" t="s">
        <v>1539</v>
      </c>
    </row>
    <row r="125" spans="1:39" s="11" customFormat="1" ht="85">
      <c r="A125" s="11" t="s">
        <v>1540</v>
      </c>
      <c r="B125" s="11" t="s">
        <v>1541</v>
      </c>
      <c r="C125" s="11" t="s">
        <v>1542</v>
      </c>
      <c r="D125" s="11" t="s">
        <v>1543</v>
      </c>
      <c r="E125" s="19" t="s">
        <v>1544</v>
      </c>
      <c r="F125" s="11" t="s">
        <v>1545</v>
      </c>
      <c r="G125" s="11" t="s">
        <v>1546</v>
      </c>
      <c r="H125" s="11" t="s">
        <v>1547</v>
      </c>
      <c r="I125" s="11" t="s">
        <v>1548</v>
      </c>
      <c r="J125" s="11" t="s">
        <v>1549</v>
      </c>
      <c r="K125" s="11" t="s">
        <v>26</v>
      </c>
      <c r="L125" s="11" t="s">
        <v>1550</v>
      </c>
      <c r="M125" s="11" t="s">
        <v>1551</v>
      </c>
      <c r="N125" s="11">
        <v>5</v>
      </c>
      <c r="O125" s="11" t="s">
        <v>19</v>
      </c>
      <c r="P125" s="11" t="s">
        <v>1552</v>
      </c>
      <c r="Q125" s="11" t="s">
        <v>1553</v>
      </c>
      <c r="R125" s="11" t="s">
        <v>1554</v>
      </c>
      <c r="S125" s="11" t="s">
        <v>1555</v>
      </c>
    </row>
    <row r="126" spans="1:39" s="11" customFormat="1" ht="136">
      <c r="A126" s="11" t="s">
        <v>1556</v>
      </c>
      <c r="B126" s="11" t="s">
        <v>1557</v>
      </c>
      <c r="C126" s="11" t="s">
        <v>1558</v>
      </c>
      <c r="D126" s="11" t="s">
        <v>1559</v>
      </c>
      <c r="E126" s="19" t="s">
        <v>1560</v>
      </c>
      <c r="F126" s="11" t="s">
        <v>1561</v>
      </c>
      <c r="G126" s="11" t="s">
        <v>1562</v>
      </c>
      <c r="H126" s="11" t="s">
        <v>1563</v>
      </c>
      <c r="I126" s="11" t="s">
        <v>1564</v>
      </c>
      <c r="J126" s="11" t="s">
        <v>1565</v>
      </c>
      <c r="K126" s="11" t="s">
        <v>21</v>
      </c>
      <c r="L126" s="11" t="s">
        <v>1566</v>
      </c>
      <c r="M126" s="11" t="s">
        <v>1567</v>
      </c>
      <c r="N126" s="11">
        <v>5</v>
      </c>
      <c r="O126" s="11" t="s">
        <v>1568</v>
      </c>
      <c r="P126" s="11" t="s">
        <v>1569</v>
      </c>
      <c r="Q126" s="11" t="s">
        <v>1570</v>
      </c>
      <c r="R126" s="11" t="s">
        <v>1571</v>
      </c>
      <c r="S126" s="11" t="s">
        <v>1572</v>
      </c>
    </row>
    <row r="127" spans="1:39" ht="16">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row>
    <row r="128" spans="1:39" ht="16">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row>
    <row r="129" spans="1:39" ht="24">
      <c r="A129" s="46" t="s">
        <v>1573</v>
      </c>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row>
    <row r="131" spans="1:39" s="27" customFormat="1" ht="64">
      <c r="A131" s="48" t="s">
        <v>1574</v>
      </c>
      <c r="B131" s="11" t="s">
        <v>15</v>
      </c>
      <c r="C131" s="48" t="s">
        <v>1575</v>
      </c>
      <c r="D131" s="48" t="s">
        <v>1576</v>
      </c>
      <c r="E131" s="19" t="s">
        <v>1577</v>
      </c>
      <c r="F131" s="48" t="s">
        <v>1578</v>
      </c>
      <c r="G131" s="48" t="s">
        <v>1579</v>
      </c>
      <c r="H131" s="49" t="s">
        <v>1580</v>
      </c>
      <c r="I131" s="48" t="s">
        <v>1581</v>
      </c>
      <c r="J131" s="48" t="s">
        <v>1582</v>
      </c>
      <c r="K131" s="11" t="s">
        <v>21</v>
      </c>
      <c r="L131" s="48" t="s">
        <v>1583</v>
      </c>
      <c r="M131" s="48" t="s">
        <v>1584</v>
      </c>
      <c r="N131" s="11">
        <v>5</v>
      </c>
      <c r="O131" s="48" t="s">
        <v>1585</v>
      </c>
      <c r="P131" s="48" t="s">
        <v>1586</v>
      </c>
      <c r="Q131" s="48" t="s">
        <v>1587</v>
      </c>
      <c r="R131" s="48" t="s">
        <v>1588</v>
      </c>
      <c r="S131" s="48" t="s">
        <v>1589</v>
      </c>
    </row>
    <row r="132" spans="1:39" s="27" customFormat="1" ht="48">
      <c r="A132" s="48" t="s">
        <v>1590</v>
      </c>
      <c r="B132" s="11" t="s">
        <v>10</v>
      </c>
      <c r="C132" s="48" t="s">
        <v>1591</v>
      </c>
      <c r="D132" s="48" t="s">
        <v>1576</v>
      </c>
      <c r="E132" s="19" t="s">
        <v>1592</v>
      </c>
      <c r="F132" s="48" t="s">
        <v>1593</v>
      </c>
      <c r="G132" s="48" t="s">
        <v>1594</v>
      </c>
      <c r="H132" s="49" t="s">
        <v>1595</v>
      </c>
      <c r="I132" s="48" t="s">
        <v>1596</v>
      </c>
      <c r="J132" s="48" t="s">
        <v>1597</v>
      </c>
      <c r="K132" s="11" t="s">
        <v>16</v>
      </c>
      <c r="L132" s="48" t="s">
        <v>1598</v>
      </c>
      <c r="M132" s="48" t="s">
        <v>1599</v>
      </c>
      <c r="N132" s="11">
        <v>5</v>
      </c>
      <c r="O132" s="48" t="s">
        <v>19</v>
      </c>
      <c r="P132" s="48" t="s">
        <v>1600</v>
      </c>
      <c r="Q132" s="48" t="s">
        <v>1601</v>
      </c>
      <c r="R132" s="48" t="s">
        <v>1602</v>
      </c>
      <c r="S132" s="48" t="s">
        <v>1603</v>
      </c>
    </row>
    <row r="133" spans="1:39" s="27" customFormat="1" ht="64">
      <c r="A133" s="48" t="s">
        <v>1604</v>
      </c>
      <c r="B133" s="11" t="s">
        <v>15</v>
      </c>
      <c r="C133" s="48" t="s">
        <v>1605</v>
      </c>
      <c r="D133" s="48" t="s">
        <v>1606</v>
      </c>
      <c r="E133" s="19" t="s">
        <v>1607</v>
      </c>
      <c r="F133" s="48" t="s">
        <v>1608</v>
      </c>
      <c r="G133" s="48" t="s">
        <v>1609</v>
      </c>
      <c r="H133" s="49" t="s">
        <v>1610</v>
      </c>
      <c r="I133" s="48" t="s">
        <v>1611</v>
      </c>
      <c r="J133" s="48" t="s">
        <v>1612</v>
      </c>
      <c r="K133" s="11" t="s">
        <v>16</v>
      </c>
      <c r="L133" s="48" t="s">
        <v>1613</v>
      </c>
      <c r="M133" s="48" t="s">
        <v>1614</v>
      </c>
      <c r="N133" s="11">
        <v>5</v>
      </c>
      <c r="O133" s="48" t="s">
        <v>1615</v>
      </c>
      <c r="P133" s="48" t="s">
        <v>1616</v>
      </c>
      <c r="Q133" s="48" t="s">
        <v>1617</v>
      </c>
      <c r="R133" s="48" t="s">
        <v>1618</v>
      </c>
      <c r="S133" s="48" t="s">
        <v>1619</v>
      </c>
    </row>
    <row r="134" spans="1:39" s="27" customFormat="1" ht="64">
      <c r="A134" s="48" t="s">
        <v>1620</v>
      </c>
      <c r="B134" s="11" t="s">
        <v>15</v>
      </c>
      <c r="C134" s="48" t="s">
        <v>1621</v>
      </c>
      <c r="D134" s="48" t="s">
        <v>1622</v>
      </c>
      <c r="E134" s="19" t="s">
        <v>1623</v>
      </c>
      <c r="F134" s="48" t="s">
        <v>1624</v>
      </c>
      <c r="G134" s="48" t="s">
        <v>1625</v>
      </c>
      <c r="H134" s="49" t="s">
        <v>1626</v>
      </c>
      <c r="I134" s="48" t="s">
        <v>1627</v>
      </c>
      <c r="J134" s="48" t="s">
        <v>1628</v>
      </c>
      <c r="K134" s="11" t="s">
        <v>21</v>
      </c>
      <c r="L134" s="48" t="s">
        <v>1629</v>
      </c>
      <c r="M134" s="48" t="s">
        <v>1630</v>
      </c>
      <c r="N134" s="11">
        <v>5</v>
      </c>
      <c r="O134" s="48" t="s">
        <v>14</v>
      </c>
      <c r="P134" s="48" t="s">
        <v>1631</v>
      </c>
      <c r="Q134" s="48" t="s">
        <v>1632</v>
      </c>
      <c r="R134" s="48" t="s">
        <v>1633</v>
      </c>
      <c r="S134" s="48" t="s">
        <v>1634</v>
      </c>
    </row>
    <row r="135" spans="1:39" s="27" customFormat="1" ht="80">
      <c r="A135" s="48" t="s">
        <v>1635</v>
      </c>
      <c r="B135" s="11" t="s">
        <v>25</v>
      </c>
      <c r="C135" s="48" t="s">
        <v>1636</v>
      </c>
      <c r="D135" s="48" t="s">
        <v>1637</v>
      </c>
      <c r="E135" s="19" t="s">
        <v>1638</v>
      </c>
      <c r="F135" s="48" t="s">
        <v>1639</v>
      </c>
      <c r="G135" s="48" t="s">
        <v>1640</v>
      </c>
      <c r="H135" s="49" t="s">
        <v>1641</v>
      </c>
      <c r="I135" s="48" t="s">
        <v>1642</v>
      </c>
      <c r="J135" s="48" t="s">
        <v>1643</v>
      </c>
      <c r="K135" s="11" t="s">
        <v>21</v>
      </c>
      <c r="L135" s="48" t="s">
        <v>1644</v>
      </c>
      <c r="M135" s="48" t="s">
        <v>1645</v>
      </c>
      <c r="N135" s="11">
        <v>5</v>
      </c>
      <c r="O135" s="48" t="s">
        <v>1615</v>
      </c>
      <c r="P135" s="48" t="s">
        <v>1646</v>
      </c>
      <c r="Q135" s="48" t="s">
        <v>1647</v>
      </c>
      <c r="R135" s="48" t="s">
        <v>1648</v>
      </c>
      <c r="S135" s="48" t="s">
        <v>1649</v>
      </c>
    </row>
    <row r="136" spans="1:39" s="27" customFormat="1" ht="80">
      <c r="A136" s="48" t="s">
        <v>1650</v>
      </c>
      <c r="B136" s="11" t="s">
        <v>10</v>
      </c>
      <c r="C136" s="48" t="s">
        <v>1651</v>
      </c>
      <c r="D136" s="48" t="s">
        <v>1637</v>
      </c>
      <c r="E136" s="19" t="s">
        <v>1652</v>
      </c>
      <c r="F136" s="48" t="s">
        <v>1653</v>
      </c>
      <c r="G136" s="48" t="s">
        <v>1654</v>
      </c>
      <c r="H136" s="49" t="s">
        <v>1655</v>
      </c>
      <c r="I136" s="48" t="s">
        <v>1656</v>
      </c>
      <c r="J136" s="48" t="s">
        <v>1657</v>
      </c>
      <c r="K136" s="11" t="s">
        <v>16</v>
      </c>
      <c r="L136" s="48" t="s">
        <v>1658</v>
      </c>
      <c r="M136" s="48" t="s">
        <v>24</v>
      </c>
      <c r="N136" s="11">
        <v>5</v>
      </c>
      <c r="O136" s="48" t="s">
        <v>19</v>
      </c>
      <c r="P136" s="48" t="s">
        <v>1659</v>
      </c>
      <c r="Q136" s="48" t="s">
        <v>1660</v>
      </c>
      <c r="R136" s="48" t="s">
        <v>1661</v>
      </c>
      <c r="S136" s="48" t="s">
        <v>1662</v>
      </c>
    </row>
    <row r="137" spans="1:39" s="27" customFormat="1" ht="48">
      <c r="A137" s="48" t="s">
        <v>1663</v>
      </c>
      <c r="B137" s="11" t="s">
        <v>25</v>
      </c>
      <c r="C137" s="48" t="s">
        <v>1664</v>
      </c>
      <c r="D137" s="48" t="s">
        <v>1665</v>
      </c>
      <c r="E137" s="19" t="s">
        <v>1666</v>
      </c>
      <c r="F137" s="48" t="s">
        <v>1667</v>
      </c>
      <c r="G137" s="48" t="s">
        <v>1668</v>
      </c>
      <c r="H137" s="49" t="s">
        <v>1669</v>
      </c>
      <c r="I137" s="48" t="s">
        <v>1670</v>
      </c>
      <c r="J137" s="48" t="s">
        <v>1671</v>
      </c>
      <c r="K137" s="11" t="s">
        <v>21</v>
      </c>
      <c r="L137" s="48" t="s">
        <v>1672</v>
      </c>
      <c r="M137" s="48" t="s">
        <v>1673</v>
      </c>
      <c r="N137" s="11">
        <v>5</v>
      </c>
      <c r="O137" s="48" t="s">
        <v>1674</v>
      </c>
      <c r="P137" s="48" t="s">
        <v>1675</v>
      </c>
      <c r="Q137" s="48" t="s">
        <v>1676</v>
      </c>
      <c r="R137" s="48" t="s">
        <v>1677</v>
      </c>
      <c r="S137" s="48" t="s">
        <v>1678</v>
      </c>
    </row>
    <row r="138" spans="1:39" s="27" customFormat="1" ht="80">
      <c r="A138" s="48" t="s">
        <v>1679</v>
      </c>
      <c r="B138" s="11" t="s">
        <v>25</v>
      </c>
      <c r="C138" s="48" t="s">
        <v>1680</v>
      </c>
      <c r="D138" s="48" t="s">
        <v>1681</v>
      </c>
      <c r="E138" s="19" t="s">
        <v>1682</v>
      </c>
      <c r="F138" s="48" t="s">
        <v>1683</v>
      </c>
      <c r="G138" s="48" t="s">
        <v>1684</v>
      </c>
      <c r="H138" s="49" t="s">
        <v>1685</v>
      </c>
      <c r="I138" s="48" t="s">
        <v>1686</v>
      </c>
      <c r="J138" s="48" t="s">
        <v>1687</v>
      </c>
      <c r="K138" s="11" t="s">
        <v>21</v>
      </c>
      <c r="L138" s="48" t="s">
        <v>1688</v>
      </c>
      <c r="M138" s="48" t="s">
        <v>19</v>
      </c>
      <c r="N138" s="11">
        <v>5</v>
      </c>
      <c r="O138" s="48" t="s">
        <v>14</v>
      </c>
      <c r="P138" s="48" t="s">
        <v>1689</v>
      </c>
      <c r="Q138" s="48" t="s">
        <v>1690</v>
      </c>
      <c r="R138" s="48" t="s">
        <v>1691</v>
      </c>
      <c r="S138" s="48" t="s">
        <v>1692</v>
      </c>
    </row>
    <row r="139" spans="1:39" s="27" customFormat="1" ht="80">
      <c r="A139" s="48" t="s">
        <v>1693</v>
      </c>
      <c r="B139" s="11" t="s">
        <v>25</v>
      </c>
      <c r="C139" s="48" t="s">
        <v>1694</v>
      </c>
      <c r="D139" s="48" t="s">
        <v>1695</v>
      </c>
      <c r="E139" s="19" t="s">
        <v>1696</v>
      </c>
      <c r="F139" s="48" t="s">
        <v>1697</v>
      </c>
      <c r="G139" s="48" t="s">
        <v>1698</v>
      </c>
      <c r="H139" s="49" t="s">
        <v>1699</v>
      </c>
      <c r="I139" s="48" t="s">
        <v>1700</v>
      </c>
      <c r="J139" s="48" t="s">
        <v>1701</v>
      </c>
      <c r="K139" s="11" t="s">
        <v>16</v>
      </c>
      <c r="L139" s="48" t="s">
        <v>1702</v>
      </c>
      <c r="M139" s="48" t="s">
        <v>1703</v>
      </c>
      <c r="N139" s="11">
        <v>5</v>
      </c>
      <c r="O139" s="48" t="s">
        <v>14</v>
      </c>
      <c r="P139" s="48" t="s">
        <v>1704</v>
      </c>
      <c r="Q139" s="48" t="s">
        <v>1705</v>
      </c>
      <c r="R139" s="48" t="s">
        <v>1706</v>
      </c>
      <c r="S139" s="48" t="s">
        <v>1707</v>
      </c>
    </row>
    <row r="140" spans="1:39" s="27" customFormat="1" ht="80">
      <c r="A140" s="48" t="s">
        <v>1708</v>
      </c>
      <c r="B140" s="11" t="s">
        <v>25</v>
      </c>
      <c r="C140" s="48" t="s">
        <v>1709</v>
      </c>
      <c r="D140" s="48" t="s">
        <v>1710</v>
      </c>
      <c r="E140" s="19" t="s">
        <v>1711</v>
      </c>
      <c r="F140" s="48" t="s">
        <v>1712</v>
      </c>
      <c r="G140" s="48" t="s">
        <v>1713</v>
      </c>
      <c r="H140" s="49" t="s">
        <v>1714</v>
      </c>
      <c r="I140" s="48" t="s">
        <v>1715</v>
      </c>
      <c r="J140" s="48" t="s">
        <v>1716</v>
      </c>
      <c r="K140" s="11" t="s">
        <v>16</v>
      </c>
      <c r="L140" s="48" t="s">
        <v>1717</v>
      </c>
      <c r="M140" s="48" t="s">
        <v>19</v>
      </c>
      <c r="N140" s="11">
        <v>5</v>
      </c>
      <c r="O140" s="48" t="s">
        <v>14</v>
      </c>
      <c r="P140" s="48" t="s">
        <v>1718</v>
      </c>
      <c r="Q140" s="48" t="s">
        <v>1719</v>
      </c>
      <c r="R140" s="48" t="s">
        <v>1720</v>
      </c>
      <c r="S140" s="48" t="s">
        <v>1721</v>
      </c>
    </row>
    <row r="141" spans="1:39" s="27" customFormat="1" ht="96">
      <c r="A141" s="48" t="s">
        <v>1722</v>
      </c>
      <c r="B141" s="11" t="s">
        <v>25</v>
      </c>
      <c r="C141" s="48" t="s">
        <v>1723</v>
      </c>
      <c r="D141" s="48" t="s">
        <v>1576</v>
      </c>
      <c r="E141" s="19" t="s">
        <v>1724</v>
      </c>
      <c r="F141" s="48" t="s">
        <v>1725</v>
      </c>
      <c r="G141" s="48" t="s">
        <v>1726</v>
      </c>
      <c r="H141" s="49" t="s">
        <v>1727</v>
      </c>
      <c r="I141" s="48" t="s">
        <v>1728</v>
      </c>
      <c r="J141" s="48" t="s">
        <v>1729</v>
      </c>
      <c r="K141" s="11" t="s">
        <v>26</v>
      </c>
      <c r="L141" s="48" t="s">
        <v>1730</v>
      </c>
      <c r="M141" s="48" t="s">
        <v>1731</v>
      </c>
      <c r="N141" s="11">
        <v>5</v>
      </c>
      <c r="O141" s="48" t="s">
        <v>14</v>
      </c>
      <c r="P141" s="48" t="s">
        <v>1732</v>
      </c>
      <c r="Q141" s="48" t="s">
        <v>1733</v>
      </c>
      <c r="R141" s="48" t="s">
        <v>1734</v>
      </c>
      <c r="S141" s="48" t="s">
        <v>1735</v>
      </c>
    </row>
    <row r="142" spans="1:39" s="27" customFormat="1" ht="80">
      <c r="A142" s="48" t="s">
        <v>1736</v>
      </c>
      <c r="B142" s="11" t="s">
        <v>25</v>
      </c>
      <c r="C142" s="48" t="s">
        <v>1737</v>
      </c>
      <c r="D142" s="48" t="s">
        <v>1738</v>
      </c>
      <c r="E142" s="19" t="s">
        <v>1739</v>
      </c>
      <c r="F142" s="48" t="s">
        <v>1740</v>
      </c>
      <c r="G142" s="48" t="s">
        <v>1741</v>
      </c>
      <c r="H142" s="49" t="s">
        <v>1630</v>
      </c>
      <c r="I142" s="48" t="s">
        <v>1742</v>
      </c>
      <c r="J142" s="48" t="s">
        <v>1743</v>
      </c>
      <c r="K142" s="11" t="s">
        <v>26</v>
      </c>
      <c r="L142" s="48" t="s">
        <v>1744</v>
      </c>
      <c r="M142" s="48" t="s">
        <v>19</v>
      </c>
      <c r="N142" s="11" t="s">
        <v>23</v>
      </c>
      <c r="O142" s="48" t="s">
        <v>14</v>
      </c>
      <c r="P142" s="48" t="s">
        <v>1745</v>
      </c>
      <c r="Q142" s="48" t="s">
        <v>1746</v>
      </c>
      <c r="R142" s="48" t="s">
        <v>1747</v>
      </c>
      <c r="S142" s="48" t="s">
        <v>1748</v>
      </c>
    </row>
    <row r="143" spans="1:39" s="27" customFormat="1" ht="64">
      <c r="A143" s="48" t="s">
        <v>1749</v>
      </c>
      <c r="B143" s="11" t="s">
        <v>20</v>
      </c>
      <c r="C143" s="48" t="s">
        <v>1750</v>
      </c>
      <c r="D143" s="48" t="s">
        <v>1751</v>
      </c>
      <c r="E143" s="19" t="s">
        <v>1752</v>
      </c>
      <c r="F143" s="48" t="s">
        <v>1753</v>
      </c>
      <c r="G143" s="48" t="s">
        <v>1754</v>
      </c>
      <c r="H143" s="49" t="s">
        <v>1755</v>
      </c>
      <c r="I143" s="48" t="s">
        <v>1756</v>
      </c>
      <c r="J143" s="48" t="s">
        <v>1757</v>
      </c>
      <c r="K143" s="11" t="s">
        <v>16</v>
      </c>
      <c r="L143" s="48" t="s">
        <v>1758</v>
      </c>
      <c r="M143" s="48" t="s">
        <v>19</v>
      </c>
      <c r="N143" s="11" t="s">
        <v>23</v>
      </c>
      <c r="O143" s="48" t="s">
        <v>19</v>
      </c>
      <c r="P143" s="48" t="s">
        <v>1759</v>
      </c>
      <c r="Q143" s="48" t="s">
        <v>1760</v>
      </c>
      <c r="R143" s="48" t="s">
        <v>1761</v>
      </c>
      <c r="S143" s="48" t="s">
        <v>1762</v>
      </c>
    </row>
    <row r="144" spans="1:39" s="27" customFormat="1" ht="64">
      <c r="A144" s="48" t="s">
        <v>1763</v>
      </c>
      <c r="B144" s="11" t="s">
        <v>20</v>
      </c>
      <c r="C144" s="48" t="s">
        <v>1764</v>
      </c>
      <c r="D144" s="48" t="s">
        <v>1765</v>
      </c>
      <c r="E144" s="19" t="s">
        <v>1766</v>
      </c>
      <c r="F144" s="48" t="s">
        <v>1767</v>
      </c>
      <c r="G144" s="48" t="s">
        <v>1768</v>
      </c>
      <c r="H144" s="49" t="s">
        <v>1755</v>
      </c>
      <c r="I144" s="48" t="s">
        <v>1769</v>
      </c>
      <c r="J144" s="48" t="s">
        <v>1770</v>
      </c>
      <c r="K144" s="11" t="s">
        <v>11</v>
      </c>
      <c r="L144" s="48" t="s">
        <v>1771</v>
      </c>
      <c r="M144" s="48" t="s">
        <v>19</v>
      </c>
      <c r="N144" s="11" t="s">
        <v>23</v>
      </c>
      <c r="O144" s="48" t="s">
        <v>19</v>
      </c>
      <c r="P144" s="48" t="s">
        <v>1772</v>
      </c>
      <c r="Q144" s="48" t="s">
        <v>1773</v>
      </c>
      <c r="R144" s="48" t="s">
        <v>1774</v>
      </c>
      <c r="S144" s="48" t="s">
        <v>1775</v>
      </c>
    </row>
    <row r="145" spans="1:19" s="27" customFormat="1" ht="48">
      <c r="A145" s="48" t="s">
        <v>1776</v>
      </c>
      <c r="B145" s="11" t="s">
        <v>15</v>
      </c>
      <c r="C145" s="48" t="s">
        <v>1777</v>
      </c>
      <c r="D145" s="48" t="s">
        <v>1637</v>
      </c>
      <c r="E145" s="19" t="s">
        <v>1778</v>
      </c>
      <c r="F145" s="48" t="s">
        <v>1779</v>
      </c>
      <c r="G145" s="48" t="s">
        <v>1780</v>
      </c>
      <c r="H145" s="49" t="s">
        <v>1781</v>
      </c>
      <c r="I145" s="48" t="s">
        <v>1782</v>
      </c>
      <c r="J145" s="48" t="s">
        <v>1783</v>
      </c>
      <c r="K145" s="11" t="s">
        <v>16</v>
      </c>
      <c r="L145" s="48" t="s">
        <v>1784</v>
      </c>
      <c r="M145" s="48" t="s">
        <v>1673</v>
      </c>
      <c r="N145" s="11" t="s">
        <v>30</v>
      </c>
      <c r="O145" s="48" t="s">
        <v>19</v>
      </c>
      <c r="P145" s="48" t="s">
        <v>1785</v>
      </c>
      <c r="Q145" s="48" t="s">
        <v>1786</v>
      </c>
      <c r="R145" s="48" t="s">
        <v>1787</v>
      </c>
      <c r="S145" s="48" t="s">
        <v>1788</v>
      </c>
    </row>
  </sheetData>
  <mergeCells count="1">
    <mergeCell ref="L1:O1"/>
  </mergeCells>
  <dataValidations count="1">
    <dataValidation type="list" allowBlank="1" showInputMessage="1" showErrorMessage="1" sqref="L90:O93 L95:O108 L4:O88" xr:uid="{CCDA5D7D-BB5C-4256-9D1B-84A64EF0749A}">
      <formula1>"Yes,No"</formula1>
    </dataValidation>
  </dataValidations>
  <hyperlinks>
    <hyperlink ref="E70" r:id="rId1" xr:uid="{9D888844-ADA2-4B71-A31A-10B4E48C4AB9}"/>
    <hyperlink ref="E56" r:id="rId2" xr:uid="{D023CDC8-F11F-4B76-A044-6D4C3CD0999D}"/>
    <hyperlink ref="E57" r:id="rId3" xr:uid="{E842872B-53D8-49A3-BA66-6737A4ADBCF7}"/>
    <hyperlink ref="E58" r:id="rId4" display="https://nuclear.mines.edu/research/?utm_source=chatgpt.com" xr:uid="{D9B5192B-A199-420C-A81C-27BBF47ED82C}"/>
    <hyperlink ref="E61" r:id="rId5" xr:uid="{BD03DB1F-35AF-405D-BF20-AEBE56701C5E}"/>
    <hyperlink ref="E60" r:id="rId6" xr:uid="{0FE5D30C-4DF6-4535-8068-C47F19EEF4B9}"/>
    <hyperlink ref="E51" r:id="rId7" xr:uid="{FB13D274-FF53-4F14-883B-99DDEDBACD5C}"/>
    <hyperlink ref="E52" r:id="rId8" xr:uid="{F011F7C5-B928-462A-94E7-505FB6579721}"/>
    <hyperlink ref="E55" r:id="rId9" xr:uid="{EB924EB6-45AA-42C6-9554-18142B79C4D3}"/>
    <hyperlink ref="E50" r:id="rId10" xr:uid="{1B2BB046-0F38-44AB-8FB2-37ACC8719A33}"/>
    <hyperlink ref="U4" r:id="rId11" display="https://www.srnl.gov/" xr:uid="{0125B4E6-7B8F-4E34-94EC-F36A2CB2DDA7}"/>
    <hyperlink ref="E35" r:id="rId12" display="https://www.che.psu.edu/" xr:uid="{889859F9-0F6D-4839-A1DB-AD1EAB7950DE}"/>
    <hyperlink ref="E92" r:id="rId13" xr:uid="{281AE5E7-C584-4E5B-9E1B-D5D80C1291F5}"/>
    <hyperlink ref="E71" r:id="rId14" xr:uid="{F221894E-CACB-4BA3-A831-F9B489F438EC}"/>
    <hyperlink ref="E72" r:id="rId15" xr:uid="{FAC12412-279A-474C-9196-1EDE478A4F85}"/>
    <hyperlink ref="E73" r:id="rId16" xr:uid="{3F6068FC-EBDD-4D51-8B62-E4E4D9928E63}"/>
    <hyperlink ref="E94" r:id="rId17" xr:uid="{5253CCE3-65B1-46ED-BB2B-8331570C8CE5}"/>
    <hyperlink ref="E14" r:id="rId18" xr:uid="{1CA0903C-80AB-4B88-AFEA-1DDECC2D6AFC}"/>
    <hyperlink ref="E5" r:id="rId19" xr:uid="{9D3726EC-085F-4C66-B299-814390D09111}"/>
    <hyperlink ref="E28" r:id="rId20" xr:uid="{3410FD27-1BD0-494D-BC3C-E03865329094}"/>
    <hyperlink ref="E27" r:id="rId21" xr:uid="{1029252E-880A-4485-9437-6414DE4424C7}"/>
    <hyperlink ref="E22" r:id="rId22" display="https://www.duke.edu/" xr:uid="{6499F178-3B76-4D67-AD7A-BDF11099F785}"/>
    <hyperlink ref="E23" r:id="rId23" xr:uid="{37DF393C-C62C-4385-9609-2FECE8E4C2D3}"/>
    <hyperlink ref="E24" r:id="rId24" xr:uid="{F8D94666-871D-445F-8DE6-7B63D5B89CC4}"/>
    <hyperlink ref="E32" r:id="rId25" xr:uid="{54709C3C-04B0-4428-83D3-49CC78C7AA02}"/>
    <hyperlink ref="E74" r:id="rId26" xr:uid="{26D0C55A-A6E8-434A-8F44-FB6373E5581E}"/>
    <hyperlink ref="U32" r:id="rId27" display="https://engineering.tamu.edu/nuclear" xr:uid="{E1A39329-0CF9-4516-A886-5A87201C04F7}"/>
    <hyperlink ref="E33" r:id="rId28" xr:uid="{2835B8B6-4052-4965-A998-83CD30CB17BB}"/>
    <hyperlink ref="E30" r:id="rId29" xr:uid="{73F5B92F-F0BE-4E15-B030-2E0C5468FFB4}"/>
    <hyperlink ref="E34" r:id="rId30" xr:uid="{582FF76B-50C9-4805-93DB-B33D8B349213}"/>
    <hyperlink ref="U34" r:id="rId31" location=":~:text=Source%20Links%20/%20References-,University%20of%20Michigan%3A%20https%3A//www.umich.edu,energy.gov/ne/services/funding%2Dopportunities/nuclear%2Denergy%2Duniversity%2Dprogram%2Dneup,-Analyst%20Notes" display="https://chatgpt.com/g/g-p-697ce4b68d008191aeb9ed209d5a02e0-um6p-us-ecosystem-mapping-nutricrops/c/6982224a-78fc-832a-8470-2b380fb03588#:~:text=Source%20Links%20/%20References-,University%20of%20Michigan%3A%20https%3A//www.umich.edu,energy.gov/ne/services/funding%2Dopportunities/nuclear%2Denergy%2Duniversity%2Dprogram%2Dneup,-Analyst%20Notes" xr:uid="{4AC4FCD3-2F32-4187-98DE-D5E720539DED}"/>
    <hyperlink ref="E21" r:id="rId32" xr:uid="{37C42FC7-A648-4754-AF4A-69ABBDDE55E5}"/>
    <hyperlink ref="E31" r:id="rId33" xr:uid="{38A62000-6D8E-4DE7-91E1-CD7035D85A79}"/>
    <hyperlink ref="E37" r:id="rId34" xr:uid="{18C2BEF5-F084-4070-85A4-F6B5B8730176}"/>
    <hyperlink ref="E7" r:id="rId35" xr:uid="{27F13D63-B6B2-4AD0-892F-9EB4042925E5}"/>
    <hyperlink ref="E38" r:id="rId36" xr:uid="{365C06A4-8756-41EC-887B-34089872BEEA}"/>
    <hyperlink ref="E39" r:id="rId37" xr:uid="{E3DE1742-3D72-467A-91A4-BAE36BB3122C}"/>
    <hyperlink ref="U39" r:id="rId38" display="https://engineering.purdue.edu/AB" xr:uid="{19306512-D0EF-4303-A528-CD94497A531D}"/>
    <hyperlink ref="E40" r:id="rId39" xr:uid="{662A338C-B542-4347-9DF2-A1D81932C971}"/>
    <hyperlink ref="E6" r:id="rId40" xr:uid="{59835961-AF90-40BF-B4BC-AE87C54C11F7}"/>
    <hyperlink ref="E4" r:id="rId41" xr:uid="{972E0811-8B8B-4E6F-B9B6-9BBA1E371CFD}"/>
    <hyperlink ref="E9" r:id="rId42" xr:uid="{CBB2F651-9834-4BAA-94F0-E8F7FB693426}"/>
    <hyperlink ref="U9" r:id="rId43" display="https://www.energy.gov/science/office-science-laboratories" xr:uid="{31DA923F-9760-4FCB-BE43-E030F10556B5}"/>
    <hyperlink ref="E8" r:id="rId44" xr:uid="{DCC85FB7-348D-48D8-99B6-24F8D71CCADD}"/>
    <hyperlink ref="U8" r:id="rId45" display="https://www.energy.gov/nnsa/national-nuclear-security-administration " xr:uid="{360F6056-1362-463F-A2D9-1F966FB17BA9}"/>
    <hyperlink ref="E10" r:id="rId46" xr:uid="{218E0494-C04D-4831-95E8-7FA1EAC14E83}"/>
    <hyperlink ref="U14" r:id="rId47" display="https://www.ornl.gov/file/ised-facility-overview-redc/display" xr:uid="{3B82081E-D95C-4D62-A075-4D40355B5DBE}"/>
    <hyperlink ref="E11" r:id="rId48" xr:uid="{B82B69CF-52FC-4CA6-BBE2-6553071D80AF}"/>
    <hyperlink ref="E41" r:id="rId49" xr:uid="{164B8871-2332-48F5-A0C9-F1271F3BE813}"/>
    <hyperlink ref="E42" r:id="rId50" xr:uid="{43FFA2C1-CE22-462E-A757-8F438EA0D2B7}"/>
    <hyperlink ref="E43" r:id="rId51" xr:uid="{B56871CA-7169-4B2C-BEA8-6A974CF47ABF}"/>
    <hyperlink ref="E44" r:id="rId52" xr:uid="{A5CA0D7B-13E3-48EA-B119-2F7D60C8DC1B}"/>
    <hyperlink ref="E45" r:id="rId53" xr:uid="{6C3FF762-D76F-4AE9-A77D-907B526D46C2}"/>
    <hyperlink ref="E48" r:id="rId54" xr:uid="{0D02772A-43BD-4B70-B81F-2F2EB52C6DDA}"/>
    <hyperlink ref="E12" r:id="rId55" xr:uid="{84F0A6A2-FAFD-4B9A-9EC5-DBC80166EB1C}"/>
    <hyperlink ref="E75" r:id="rId56" xr:uid="{E04D14A6-C432-4832-BCA1-B550CCD5E6EE}"/>
    <hyperlink ref="E26" r:id="rId57" display="https://www.arizona.edu/ " xr:uid="{7597B592-9EA3-469F-8AC2-378A5B56DDC8}"/>
    <hyperlink ref="E29" r:id="rId58" xr:uid="{CE9DB71E-206C-46C1-BAB2-1DC0F7EA346D}"/>
    <hyperlink ref="E103" r:id="rId59" xr:uid="{34390AE9-D26B-440E-B4C1-63C0D22DB5BE}"/>
    <hyperlink ref="E77" r:id="rId60" xr:uid="{3CE958FE-43A4-4D1F-9A96-C7155C86D916}"/>
    <hyperlink ref="E80" r:id="rId61" xr:uid="{08D48C73-159D-45C4-9B08-D2A91E1538CB}"/>
    <hyperlink ref="E81" r:id="rId62" xr:uid="{4512AE2D-0ECF-4C28-A1EC-1E5AD874791A}"/>
    <hyperlink ref="E82" r:id="rId63" xr:uid="{9E640C25-14B7-4438-B21D-EB005B0BB806}"/>
    <hyperlink ref="E83" r:id="rId64" xr:uid="{D3799474-B659-47AE-99BE-1E2CBC8990D4}"/>
    <hyperlink ref="E84" r:id="rId65" xr:uid="{53DBD7F7-6172-4980-A6D3-3C80427DE65A}"/>
    <hyperlink ref="E85" r:id="rId66" xr:uid="{3BEE4918-249F-4843-B9B5-175BEC85397B}"/>
    <hyperlink ref="E86" r:id="rId67" xr:uid="{67DBFC0F-BC78-4BF8-888F-69965278C624}"/>
    <hyperlink ref="E87" r:id="rId68" xr:uid="{DB51CF63-6175-47FE-8F64-5BB0747BA4CE}"/>
    <hyperlink ref="U109" r:id="rId69" xr:uid="{DAA07FBD-3EFF-4799-9618-5708B4F7D151}"/>
    <hyperlink ref="E99" r:id="rId70" xr:uid="{F002F4CC-1A4B-4A0D-9674-DD54EC208A3A}"/>
    <hyperlink ref="U99" r:id="rId71" display="https://www.epri.com/" xr:uid="{5926742A-D63E-4921-9F62-B27ADC09D7F5}"/>
    <hyperlink ref="E13" r:id="rId72" xr:uid="{6EA44D94-7DAF-4FC5-B4B3-4916AB70D094}"/>
    <hyperlink ref="E105" r:id="rId73" xr:uid="{619C3549-6EB1-4BD1-93E0-60DD1581FE83}"/>
    <hyperlink ref="E112" r:id="rId74" xr:uid="{7460929A-4D4A-4F8A-B317-D53E1061B418}"/>
    <hyperlink ref="W86" r:id="rId75" xr:uid="{429548C0-4752-4937-8C36-F179F03FACB6}"/>
    <hyperlink ref="E100" r:id="rId76" xr:uid="{DFB98FC5-C866-487F-850C-C96F2C06020E}"/>
    <hyperlink ref="E102" r:id="rId77" xr:uid="{D62DF646-CA52-45D6-9E66-86EE9D3DE53A}"/>
    <hyperlink ref="E16" r:id="rId78" xr:uid="{B8E7CDC3-DEBE-4EB7-8FB8-CE39B5B977CE}"/>
    <hyperlink ref="E88" r:id="rId79" xr:uid="{A9866123-448C-4EC6-A01B-F188ABB3B375}"/>
    <hyperlink ref="E89" r:id="rId80" xr:uid="{B8BA067A-0F6A-4F1A-AF68-3291B25EEACB}"/>
    <hyperlink ref="E101" r:id="rId81" xr:uid="{97970754-207C-4CBC-B80E-243F67C71D45}"/>
    <hyperlink ref="E46" r:id="rId82" xr:uid="{FD284264-F6B7-4BC8-AB2E-1840839C5E9A}"/>
    <hyperlink ref="E98" r:id="rId83" xr:uid="{0738D0B6-BD7D-46C4-87F9-804A23952A1F}"/>
    <hyperlink ref="E116" r:id="rId84" xr:uid="{2610BE28-9CB9-9345-AEB1-7CBC0CE697D9}"/>
    <hyperlink ref="I116" r:id="rId85" xr:uid="{3F7A61CE-D4C2-2842-97D8-5C93169DAB43}"/>
    <hyperlink ref="E117" r:id="rId86" xr:uid="{9F84C007-CF4F-9746-8CB1-C07D6532E5BA}"/>
    <hyperlink ref="E118" r:id="rId87" xr:uid="{20A35A46-59EF-EB45-9226-38D0120481EA}"/>
    <hyperlink ref="E119" r:id="rId88" xr:uid="{E6C5F62D-B1EC-C141-B70B-590F9978674E}"/>
    <hyperlink ref="E120" r:id="rId89" xr:uid="{ACA9CE86-DDA0-0C45-8A9E-3AE473105613}"/>
    <hyperlink ref="E121" r:id="rId90" xr:uid="{E3FC939D-BF38-4C49-A4C1-3D685C7D82BF}"/>
    <hyperlink ref="E122" r:id="rId91" xr:uid="{D60902BF-A03D-5148-BD36-3B3EE22DD5FE}"/>
    <hyperlink ref="E123" r:id="rId92" xr:uid="{A2688045-3CFD-C44D-8C2F-363FB15511F9}"/>
    <hyperlink ref="E124" r:id="rId93" xr:uid="{D830A12D-D408-B241-9EBA-BA4B8776C151}"/>
    <hyperlink ref="E125" r:id="rId94" xr:uid="{933E3B51-CC91-8F4D-914A-3B0CF3279F9B}"/>
    <hyperlink ref="E126" r:id="rId95" xr:uid="{424E8F60-4DFA-F345-A9C6-F696B016BAAD}"/>
    <hyperlink ref="E131" r:id="rId96" xr:uid="{593A7310-A8C4-4513-923C-14D9251DC4CA}"/>
    <hyperlink ref="E132" r:id="rId97" xr:uid="{789CC95A-1393-46DF-A4CE-A9C8ABB80D40}"/>
    <hyperlink ref="E133" r:id="rId98" xr:uid="{9B791D4B-C291-4977-B3D3-B63BD821BFA5}"/>
    <hyperlink ref="E134" r:id="rId99" xr:uid="{0A233E2C-BBC3-49FB-9B21-B2F1634D9D51}"/>
    <hyperlink ref="E135" r:id="rId100" xr:uid="{F70EA7C3-7ED8-41EA-B92F-302C7F0EDF06}"/>
    <hyperlink ref="E136" r:id="rId101" xr:uid="{C6DFF7CD-2241-4AE0-9E4B-00527DD3B63B}"/>
    <hyperlink ref="E137" r:id="rId102" xr:uid="{83E5D0C2-8F69-4099-9DE2-4B1B1F0F83B3}"/>
    <hyperlink ref="E138" r:id="rId103" xr:uid="{A602CD71-2F14-4AA0-8EBA-038CA2E61E67}"/>
    <hyperlink ref="E139" r:id="rId104" xr:uid="{78E10BD2-5B07-407A-8E34-DB74FAEC76FE}"/>
    <hyperlink ref="E140" r:id="rId105" xr:uid="{87D98218-2218-4204-A7C6-40C0766A0BF2}"/>
    <hyperlink ref="E141" r:id="rId106" xr:uid="{ACD80138-F416-4558-BCFD-162D576B42DC}"/>
    <hyperlink ref="E142" r:id="rId107" xr:uid="{5E773531-02E1-4471-9E3C-358EED4E29FB}"/>
    <hyperlink ref="E143" r:id="rId108" xr:uid="{9D6FBFB9-01A7-49B5-B62A-FA4695ACA7FC}"/>
    <hyperlink ref="E144" r:id="rId109" xr:uid="{06CAB18F-25F5-442B-998F-500969E6F843}"/>
    <hyperlink ref="E145" r:id="rId110" xr:uid="{BE98DDCA-9015-45E9-BF50-B1DA84FB2AB7}"/>
  </hyperlinks>
  <pageMargins left="0.75" right="0.75" top="1" bottom="1" header="0.5" footer="0.5"/>
  <extLst>
    <ext xmlns:x14="http://schemas.microsoft.com/office/spreadsheetml/2009/9/main" uri="{CCE6A557-97BC-4b89-ADB6-D9C93CAAB3DF}">
      <x14:dataValidations xmlns:xm="http://schemas.microsoft.com/office/excel/2006/main" count="5">
        <x14:dataValidation type="list" allowBlank="1" xr:uid="{00000000-0002-0000-0200-000003000000}">
          <x14:formula1>
            <xm:f>Lists!$D$1:$D$5</xm:f>
          </x14:formula1>
          <xm:sqref>E23:E34 Q3:Q37 E3:E21 M3:O3 M89:O89 Q39:Q93 E49:E93 Q146:Q2001 E146:E2001 M146:O2001 N131:N145 M109:O130 Q95:Q130 E95:E130</xm:sqref>
        </x14:dataValidation>
        <x14:dataValidation type="list" allowBlank="1" xr:uid="{00000000-0002-0000-0200-000002000000}">
          <x14:formula1>
            <xm:f>Lists!$C$1:$C$5</xm:f>
          </x14:formula1>
          <xm:sqref>L3:O3 L89:O89 L146:O2001 N131:N145 L109:O130</xm:sqref>
        </x14:dataValidation>
        <x14:dataValidation type="list" allowBlank="1" xr:uid="{00000000-0002-0000-0200-000000000000}">
          <x14:formula1>
            <xm:f>Lists!$A$1:$A$4</xm:f>
          </x14:formula1>
          <xm:sqref>D81 B3:B93 B95:B2001</xm:sqref>
        </x14:dataValidation>
        <x14:dataValidation type="list" allowBlank="1" xr:uid="{00000000-0002-0000-0200-000001000000}">
          <x14:formula1>
            <xm:f>Lists!$B$1:$B$4</xm:f>
          </x14:formula1>
          <xm:sqref>K7:K34 K95:K99 K102 K3:K4 K49:K93 K105:K2001</xm:sqref>
        </x14:dataValidation>
        <x14:dataValidation type="list" allowBlank="1" xr:uid="{00000000-0002-0000-0200-000004000000}">
          <x14:formula1>
            <xm:f>Lists!$E$1:$E$3</xm:f>
          </x14:formula1>
          <xm:sqref>Q14:Q19 R3:R13 R20:R93 R146:R2001 R95:R130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207E5-B15B-4B39-896B-2F56F2F30556}">
  <dimension ref="A1"/>
  <sheetViews>
    <sheetView workbookViewId="0"/>
  </sheetViews>
  <sheetFormatPr baseColWidth="10" defaultColWidth="8.8320312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888F50910E94E4AA7A474B47C6BD102" ma:contentTypeVersion="5" ma:contentTypeDescription="Create a new document." ma:contentTypeScope="" ma:versionID="9846fff6e18618908ad2c79dbdf9c379">
  <xsd:schema xmlns:xsd="http://www.w3.org/2001/XMLSchema" xmlns:xs="http://www.w3.org/2001/XMLSchema" xmlns:p="http://schemas.microsoft.com/office/2006/metadata/properties" xmlns:ns3="0f935cec-32c4-4082-9c43-4e4a12ace7c7" targetNamespace="http://schemas.microsoft.com/office/2006/metadata/properties" ma:root="true" ma:fieldsID="0df59c442e3697a380ca4fd3c40fa3bf" ns3:_="">
    <xsd:import namespace="0f935cec-32c4-4082-9c43-4e4a12ace7c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35cec-32c4-4082-9c43-4e4a12ace7c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f935cec-32c4-4082-9c43-4e4a12ace7c7" xsi:nil="true"/>
  </documentManagement>
</p:properties>
</file>

<file path=customXml/itemProps1.xml><?xml version="1.0" encoding="utf-8"?>
<ds:datastoreItem xmlns:ds="http://schemas.openxmlformats.org/officeDocument/2006/customXml" ds:itemID="{E5EFF421-37FB-49CA-832C-C50DFC91CA3F}">
  <ds:schemaRefs>
    <ds:schemaRef ds:uri="http://schemas.microsoft.com/sharepoint/v3/contenttype/forms"/>
  </ds:schemaRefs>
</ds:datastoreItem>
</file>

<file path=customXml/itemProps2.xml><?xml version="1.0" encoding="utf-8"?>
<ds:datastoreItem xmlns:ds="http://schemas.openxmlformats.org/officeDocument/2006/customXml" ds:itemID="{CB16F056-952B-42BA-B295-FE959D3C1F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35cec-32c4-4082-9c43-4e4a12ace7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4B6B4B-E670-4C63-BEEA-C22A588BD7E1}">
  <ds:schemaRefs>
    <ds:schemaRef ds:uri="http://purl.org/dc/terms/"/>
    <ds:schemaRef ds:uri="http://www.w3.org/XML/1998/namespace"/>
    <ds:schemaRef ds:uri="http://schemas.microsoft.com/office/2006/documentManagement/types"/>
    <ds:schemaRef ds:uri="http://schemas.microsoft.com/office/2006/metadata/properties"/>
    <ds:schemaRef ds:uri="http://purl.org/dc/dcmitype/"/>
    <ds:schemaRef ds:uri="0f935cec-32c4-4082-9c43-4e4a12ace7c7"/>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Lists</vt:lpstr>
      <vt:lpstr>NutriCrops Ecosystem Map</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David HAYES</cp:lastModifiedBy>
  <cp:revision/>
  <dcterms:created xsi:type="dcterms:W3CDTF">2026-01-12T20:53:43Z</dcterms:created>
  <dcterms:modified xsi:type="dcterms:W3CDTF">2026-05-18T12:23:08Z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0x0101009888F50910E94E4AA7A474B47C6BD102</vt:lpwstr>
  </property>
</Properties>
</file>