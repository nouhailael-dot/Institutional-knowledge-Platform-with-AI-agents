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https://um6p-my.sharepoint.com/personal/marina_pesneau-ext_um6pus_com/Documents/"/>
    </mc:Choice>
  </mc:AlternateContent>
  <xr:revisionPtr revIDLastSave="0" documentId="8_{45AA0A8D-D080-7349-AD7B-02F6D3588D4B}" xr6:coauthVersionLast="47" xr6:coauthVersionMax="47" xr10:uidLastSave="{00000000-0000-0000-0000-000000000000}"/>
  <bookViews>
    <workbookView xWindow="0" yWindow="500" windowWidth="24700" windowHeight="16300" tabRatio="500" activeTab="8" xr2:uid="{00000000-000D-0000-FFFF-FFFF00000000}"/>
  </bookViews>
  <sheets>
    <sheet name="UN Key Events" sheetId="1" r:id="rId1"/>
    <sheet name="Agriculture" sheetId="2" r:id="rId2"/>
    <sheet name="Water " sheetId="3" r:id="rId3"/>
    <sheet name="AI" sheetId="4" r:id="rId4"/>
    <sheet name="Energy Transition" sheetId="5" r:id="rId5"/>
    <sheet name="Mining " sheetId="6" r:id="rId6"/>
    <sheet name="Speciality Chemicals" sheetId="7" r:id="rId7"/>
    <sheet name="Healthcare" sheetId="8" r:id="rId8"/>
    <sheet name="African Diaspora" sheetId="9" r:id="rId9"/>
    <sheet name="CROSS-THEMATIC EVENTS" sheetId="10" r:id="rId10"/>
    <sheet name="Scoring Guide &amp; Methodology" sheetId="11" r:id="rId11"/>
  </sheets>
  <definedNames>
    <definedName name="_xlnm._FilterDatabase" localSheetId="8" hidden="1">'African Diaspora'!$A$4:$AC$11</definedName>
    <definedName name="_xlnm._FilterDatabase" localSheetId="1" hidden="1">Agriculture!$A$4:$AC$25</definedName>
    <definedName name="_xlnm._FilterDatabase" localSheetId="3" hidden="1">AI!$A$4:$AC$13</definedName>
    <definedName name="_xlnm._FilterDatabase" localSheetId="9" hidden="1">'CROSS-THEMATIC EVENTS'!$A$4:$AC$7</definedName>
    <definedName name="_xlnm._FilterDatabase" localSheetId="4" hidden="1">'Energy Transition'!$A$4:$AC$19</definedName>
    <definedName name="_xlnm._FilterDatabase" localSheetId="7" hidden="1">Healthcare!$A$4:$AC$16</definedName>
    <definedName name="_xlnm._FilterDatabase" localSheetId="5" hidden="1">'Mining '!$A$4:$AC$11</definedName>
    <definedName name="_xlnm._FilterDatabase" localSheetId="6" hidden="1">'Speciality Chemicals'!$A$4:$AC$10</definedName>
    <definedName name="_xlnm._FilterDatabase" localSheetId="0" hidden="1">'UN Key Events'!$A$4:$I$17</definedName>
    <definedName name="_xlnm._FilterDatabase" localSheetId="2" hidden="1">'Water '!$A$4:$AC$14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B7" i="10" l="1"/>
  <c r="AB6" i="10"/>
  <c r="AB11" i="9"/>
  <c r="AB10" i="9"/>
  <c r="AB9" i="9"/>
  <c r="AB8" i="9"/>
  <c r="AB7" i="9"/>
  <c r="AB6" i="9"/>
  <c r="AB16" i="8"/>
  <c r="AB15" i="8"/>
  <c r="AB14" i="8"/>
  <c r="AB13" i="8"/>
  <c r="AB12" i="8"/>
  <c r="AB11" i="8"/>
  <c r="AB10" i="8"/>
  <c r="AB9" i="8"/>
  <c r="AB8" i="8"/>
  <c r="AB7" i="8"/>
  <c r="AB6" i="8"/>
  <c r="AB5" i="8"/>
  <c r="AB10" i="7"/>
  <c r="AB9" i="7"/>
  <c r="AB8" i="7"/>
  <c r="AB7" i="7"/>
  <c r="AB6" i="7"/>
  <c r="AB5" i="7"/>
  <c r="AB11" i="6"/>
  <c r="AB10" i="6"/>
  <c r="AB9" i="6"/>
  <c r="AB8" i="6"/>
  <c r="AB7" i="6"/>
  <c r="AB6" i="6"/>
  <c r="AB13" i="4"/>
  <c r="AB12" i="4"/>
  <c r="AB11" i="4"/>
  <c r="AB10" i="4"/>
  <c r="AB9" i="4"/>
  <c r="AB8" i="4"/>
  <c r="AB7" i="4"/>
  <c r="AB6" i="4"/>
  <c r="AB5" i="4"/>
  <c r="AB14" i="3"/>
  <c r="AB13" i="3"/>
  <c r="AB12" i="3"/>
  <c r="AB11" i="3"/>
  <c r="AB10" i="3"/>
  <c r="AB9" i="3"/>
  <c r="AB8" i="3"/>
  <c r="AB7" i="3"/>
  <c r="AB6" i="3"/>
  <c r="AB5" i="3"/>
  <c r="AB25" i="2"/>
  <c r="AB24" i="2"/>
  <c r="AB23" i="2"/>
  <c r="AB22" i="2"/>
  <c r="AB21" i="2"/>
  <c r="AB20" i="2"/>
  <c r="AB19" i="2"/>
  <c r="AB18" i="2"/>
  <c r="AB17" i="2"/>
  <c r="AB16" i="2"/>
  <c r="AB15" i="2"/>
  <c r="AB14" i="2"/>
  <c r="AB13" i="2"/>
  <c r="AB12" i="2"/>
  <c r="AB11" i="2"/>
  <c r="AB10" i="2"/>
  <c r="AB9" i="2"/>
  <c r="AB8" i="2"/>
  <c r="AB7" i="2"/>
  <c r="AB6" i="2"/>
  <c r="AB5" i="2"/>
  <c r="AB19" i="5"/>
  <c r="AB18" i="5"/>
  <c r="AB17" i="5"/>
  <c r="AB16" i="5"/>
  <c r="AB15" i="5"/>
  <c r="AB14" i="5"/>
  <c r="AB13" i="5"/>
  <c r="AB12" i="5"/>
  <c r="AB11" i="5"/>
  <c r="AB10" i="5"/>
  <c r="AB9" i="5"/>
  <c r="AB8" i="5"/>
  <c r="AB7" i="5"/>
  <c r="AB6" i="5"/>
  <c r="AB5" i="5"/>
</calcChain>
</file>

<file path=xl/sharedStrings.xml><?xml version="1.0" encoding="utf-8"?>
<sst xmlns="http://schemas.openxmlformats.org/spreadsheetml/2006/main" count="2420" uniqueCount="693">
  <si>
    <t>UM6P GLOBAL HUB US — UN NEW YORK HQ &amp; WORLD BANK KEY EVENTS INTELLIGENCE</t>
  </si>
  <si>
    <t>Strategic mapping of UN meetings, forums, and World Bank events aligned with UM6P's priority sectors and global mission</t>
  </si>
  <si>
    <t>Event Name</t>
  </si>
  <si>
    <t>UN Category</t>
  </si>
  <si>
    <t>Event Description</t>
  </si>
  <si>
    <t>Location</t>
  </si>
  <si>
    <t>Date / Frequency</t>
  </si>
  <si>
    <t>Organizer</t>
  </si>
  <si>
    <t>Official Website</t>
  </si>
  <si>
    <t>Thematic Focus</t>
  </si>
  <si>
    <t>Potential Strategic Value For UM6P</t>
  </si>
  <si>
    <t xml:space="preserve"> KEY ANNUAL UNITED NATIONS EVENTS — New York</t>
  </si>
  <si>
    <t>ECOSOC Partnership Forum</t>
  </si>
  <si>
    <t>ECOSOC</t>
  </si>
  <si>
    <t>Annual high-level platform convening governments, UN entities, private sector, academia, and civil society to strengthen multi-stakeholder partnerships supporting the SDGs. Organized by ECOSOC, it produces actionable recommendations for advancing the 2030 Agenda.</t>
  </si>
  <si>
    <t>UN Headquarters, New York City, NY</t>
  </si>
  <si>
    <t>January · Annual</t>
  </si>
  <si>
    <t xml:space="preserve"> Economic and Social Council (ECOSOC)</t>
  </si>
  <si>
    <t>https://www.un.org/ecosoc/en/partnership-forum</t>
  </si>
  <si>
    <t>Multi-stakeholder partnerships · SDGs · Private sector engagement · Civil society · Development finance · Global governance</t>
  </si>
  <si>
    <t>High — direct access to UN ecosystem and SDG partnership networks; relevant for UM6P's positioning as a research and innovation institution contributing to the 2030 Agenda.</t>
  </si>
  <si>
    <t>Commission for Social Development (CSocD)</t>
  </si>
  <si>
    <t>Annual UN forum addressing global social development challenges including poverty, inequality, and full employment. CSocD advises ECOSOC and the General Assembly on social policies and reviews the implementation of the Copenhagen Declaration on Social Development.</t>
  </si>
  <si>
    <t>February · Annual</t>
  </si>
  <si>
    <t>UN DESA / ECOSOC Functional Commission</t>
  </si>
  <si>
    <t>https://www.un.org/development/desa/dspd/united-nations-commission-for-social-development-csocd.html</t>
  </si>
  <si>
    <t>Social development · Poverty eradication · Inclusive societies · Employment · Ageing · Social integration</t>
  </si>
  <si>
    <t>Moderate — relevant for UM6P's community-centered development agenda; provides access to UN social policy networks and NGO ecosystems. Less directly aligned with core technical sectors but valuable for SDG positioning.</t>
  </si>
  <si>
    <t>Commission on the Status of Women (CSW)</t>
  </si>
  <si>
    <t>The largest annual UN gathering dedicated to gender equality and women's empowerment, drawing 10,000+ delegates from 190+ member states, NGOs, and civil society. CSW reviews progress on the Beijing Platform for Action and produces agreed conclusions shaping global gender policy.</t>
  </si>
  <si>
    <t>March · Annual (2 weeks)</t>
  </si>
  <si>
    <t>UN Women / UN DESA — ECOSOC Functional Commission</t>
  </si>
  <si>
    <t>https://www.unwomen.org/en/csw</t>
  </si>
  <si>
    <t>Gender equality · Women's empowerment · Inclusive development · Education · Health · Economic participation · Leadership</t>
  </si>
  <si>
    <t>High — largest UN gathering in New York; critical for UM6P's inclusive development positioning and access to global gender-equality networks, governments, and civil society. Strong relevance for UM6P's African mission.</t>
  </si>
  <si>
    <t>ECOSOC Youth Forum</t>
  </si>
  <si>
    <t>Annual platform organized by ECOSOC connecting young leaders, policymakers, and institutions to discuss youth-led solutions for sustainable development. Produces youth messages delivered directly to the High-Level Political Forum and feeds into global SDG policy dialogue.</t>
  </si>
  <si>
    <t>April · Annual</t>
  </si>
  <si>
    <t>https://www.un.org/ecosoc/en/youth-forum</t>
  </si>
  <si>
    <t>Youth empowerment · SDGs · Sustainable development · Innovation · Leadership · Intergenerational dialogue</t>
  </si>
  <si>
    <t>Moderate — valuable for UM6P's youth engagement and talent pipeline agenda; positions UM6P as an institution committed to next-generation leadership; useful for connecting with African youth networks.</t>
  </si>
  <si>
    <t>Financing for Development Forum (FfD Forum)</t>
  </si>
  <si>
    <t>High-level annual forum on financing sustainable development, bringing together governments, international financial institutions (World Bank, IMF, regional development banks), private sector, and civil society. Reviews implementation of the Addis Ababa Action Agenda and explores new financing mechanisms for the SDGs.</t>
  </si>
  <si>
    <t>https://developmentfinance.un.org/fsdo</t>
  </si>
  <si>
    <t>Development finance · SDG financing · Debt sustainability · Private investment · Blended finance · Tax policy · Official development assistance</t>
  </si>
  <si>
    <t>Very High — direct access to development finance architecture including World Bank, IMF, and major investment institutions; highly relevant for UM6P's research commercialization and partnerships with global financial institutions for African development.</t>
  </si>
  <si>
    <t>STI Forum — Science, Technology &amp; Innovation for the SDGs</t>
  </si>
  <si>
    <t>Annual multi-stakeholder forum exploring how science, technology, and innovation can accelerate SDG progress. Convenes scientists, innovators, governments, and the private sector to share best practices, identify gaps, and build partnerships around transformative technologies.</t>
  </si>
  <si>
    <t>May · Annual (preceding HLPF)</t>
  </si>
  <si>
    <t xml:space="preserve"> DESA </t>
  </si>
  <si>
    <t>https://sdgs.un.org/tfm/STIForum2025</t>
  </si>
  <si>
    <t>Science &amp; technology for SDGs · Innovation ecosystems · Digital transformation · Emerging technologies · Open science · North-South technology transfer</t>
  </si>
  <si>
    <t>Very High — directly aligned with UM6P's core research and innovation mission; ideal platform for positioning UM6P as an African STI leader contributing to global SDG solutions. Strong technology transfer and partnership opportunities.</t>
  </si>
  <si>
    <t>ECOSOC Operational Activities for Development Segment</t>
  </si>
  <si>
    <t>Annual intergovernmental meeting reviewing how the UN development system operates, coordinates, and supports countries in achieving development goals. Examines UN Country Teams, UNDP, UNICEF, and other development bodies; shapes UN system-wide coherence and resource allocation.</t>
  </si>
  <si>
    <t>May–June · Annual</t>
  </si>
  <si>
    <t>United Nations Economic and Social Council (ECOSOC) / UN DESA</t>
  </si>
  <si>
    <t>https://www.un.org/ecosoc/en/operational-activities-segment</t>
  </si>
  <si>
    <t>UN development system · System-wide coherence · Country-level support · Development coordination · South-South cooperation</t>
  </si>
  <si>
    <t>Moderate — relevant for understanding UN development architecture and building relationships with UN Resident Coordinators and development agencies operating in Africa. Useful for UM6P's partnership development with UN country programs.</t>
  </si>
  <si>
    <t>High-Level Political Forum (HLPF)</t>
  </si>
  <si>
    <t>The UN's central global platform for reviewing progress on the 2030 Agenda and the 17 SDGs. Held annually under ECOSOC and every 4 years at Summit level, HLPF brings together Heads of State, ministers, scientists, and civil society for Voluntary National Reviews and SDG thematic discussions.</t>
  </si>
  <si>
    <t>July · Annual (2 weeks)</t>
  </si>
  <si>
    <t>United Nations / ECOSOC / UN DESA</t>
  </si>
  <si>
    <t>https://hlpf.un.org</t>
  </si>
  <si>
    <t>SDG progress review · Voluntary National Reviews · Leaving no one behind · Science-policy interface · Transformative pathways for 2030</t>
  </si>
  <si>
    <t>Very High — the most authoritative global SDG platform; essential for UM6P's UN engagement strategy, SDG partnership-building, and positioning as a global research institution contributing to Agenda 2030. Access to government ministers and SDG champions from all countries.</t>
  </si>
  <si>
    <t>ECOSOC High-Level Segment</t>
  </si>
  <si>
    <t>Annual ministerial-level discussions at ECOSOC providing high-level political guidance on major economic, social, and development challenges. Includes the Ministerial Declaration and feeds directly into HLPF outcomes. Brings together finance and development ministers with international organizations and private sector leaders.</t>
  </si>
  <si>
    <t>July · Annual (following HLPF)</t>
  </si>
  <si>
    <t>United Nations Economic and Social Council (ECOSOC)</t>
  </si>
  <si>
    <t>https://www.un.org/ecosoc/en/high-level-segment</t>
  </si>
  <si>
    <t>Global economic governance · Social development · Sustainable development priorities · Ministerial dialogue · Development financing</t>
  </si>
  <si>
    <t>High — ministerial-level engagement with global development agenda; strong for UM6P institutional positioning and access to finance and foreign affairs ministers who shape research and innovation policy in partner countries.</t>
  </si>
  <si>
    <t>UN General Assembly High-Level Week (UNGA HLW)</t>
  </si>
  <si>
    <t>UN General Assembly</t>
  </si>
  <si>
    <t>The UN's highest-profile annual gathering, convening Heads of State, heads of government, and global leaders for the General Debate and high-level side events. UNGA HLW sets the global political agenda, launches major initiatives, and generates thousands of bilateral and multilateral meetings — the world's premier diplomatic convergence.</t>
  </si>
  <si>
    <t>September (3rd week) · Annual</t>
  </si>
  <si>
    <t>United Nations General Assembly (UNGA) / UN Secretariat</t>
  </si>
  <si>
    <t>https://www.un.org/en/ga</t>
  </si>
  <si>
    <t>Global political agenda · Multilateralism · Peace &amp; security · Climate · Development finance · Health · SDG Summit · Future of the UN</t>
  </si>
  <si>
    <t>Very High — the world's most influential diplomatic event; unmatched for UM6P's institutional visibility, Head-of-State engagement, and strategic positioning across all priority sectors. Dozens of side events directly relevant to UM6P's agenda occur in parallel.</t>
  </si>
  <si>
    <t>High-Level Meeting on Pandemic Prevention, Preparedness &amp; Response</t>
  </si>
  <si>
    <t>UN General Assembly — High-Level Meeting</t>
  </si>
  <si>
    <t>High-level intergovernmental meeting focused on strengthening global health cooperation, pandemic preparedness architecture, and resilient health systems. Held alongside UNGA, it engages health ministers, WHO leadership, and global health institutions on lessons from COVID-19 and frameworks for future health crises.</t>
  </si>
  <si>
    <t>September · As convened (alongside UNGA)</t>
  </si>
  <si>
    <t>United Nations General Assembly (UNGA) / World Health Organization (WHO)</t>
  </si>
  <si>
    <t>https://www.un.org/en/ga/pandemic</t>
  </si>
  <si>
    <t>Pandemic preparedness · Global health security · Health system resilience · Vaccine equity · One Health · International health regulations</t>
  </si>
  <si>
    <t>High — directly aligned with UM6P's healthcare and biotechnology priorities; provides access to WHO, health ministers, and global health institutions. Strong opportunity for UM6P to position its health research and diagnostic capabilities on the global stage.</t>
  </si>
  <si>
    <t>UN General Assembly Second Committee (Economic &amp; Financial Committee)</t>
  </si>
  <si>
    <t>UN General Assembly — Main Committee</t>
  </si>
  <si>
    <t>One of UNGA's six main committees, dedicated to economic development, sustainable development, climate action, technology transfer, and global economic cooperation. Produces UNGA resolutions on trade, finance, natural resources, energy, and the digital economy — shaping international economic governance.</t>
  </si>
  <si>
    <t>October–November · Annual</t>
  </si>
  <si>
    <t>United Nations General Assembly (UNGA) — Second Committee Secretariat</t>
  </si>
  <si>
    <t>https://www.un.org/en/ga/second/index.shtml</t>
  </si>
  <si>
    <t>Sustainable development · Climate action · Technology transfer · Trade &amp; development · Digital economy · Financing for development · Natural resources</t>
  </si>
  <si>
    <t>High — key forum for shaping international economic and development policy; relevant for UM6P's engagement with UN resolutions on technology, energy, and agriculture. Provides access to economic attachés and development negotiators from 193 countries.</t>
  </si>
  <si>
    <t>UM6P GLOBAL HUB US — U.S. ANNUAL EVENTS MAPPING</t>
  </si>
  <si>
    <t>Strategic intelligence database of the U.S. events most relevant to UM6P priority sectors</t>
  </si>
  <si>
    <t>EVENT OVERVIEW</t>
  </si>
  <si>
    <t>UM6P US Priority Sectors</t>
  </si>
  <si>
    <t>EVENT ASSESSMENT</t>
  </si>
  <si>
    <t>SCORING &amp; TIER</t>
  </si>
  <si>
    <t>Official website</t>
  </si>
  <si>
    <t>Date</t>
  </si>
  <si>
    <t>Frequency</t>
  </si>
  <si>
    <t>Agriculture</t>
  </si>
  <si>
    <t>Water</t>
  </si>
  <si>
    <t>Healthcare</t>
  </si>
  <si>
    <t>Artificial Intelligence</t>
  </si>
  <si>
    <t>Energy Transition</t>
  </si>
  <si>
    <t>Mining</t>
  </si>
  <si>
    <t>Specialty Chemicals</t>
  </si>
  <si>
    <t>Event Longevity</t>
  </si>
  <si>
    <t>Event Recognition Level</t>
  </si>
  <si>
    <t>Audience Size</t>
  </si>
  <si>
    <t>Speakers Profile</t>
  </si>
  <si>
    <t>Organizer Credibility</t>
  </si>
  <si>
    <t>Geographic Reach</t>
  </si>
  <si>
    <t>Longevity Score</t>
  </si>
  <si>
    <t>Recognition Score</t>
  </si>
  <si>
    <t>Scale Score</t>
  </si>
  <si>
    <t>Audience Profile Score</t>
  </si>
  <si>
    <t>Organizer Profile Score</t>
  </si>
  <si>
    <t>Geography Reach Score</t>
  </si>
  <si>
    <t>TOTAL /18</t>
  </si>
  <si>
    <t>TIER</t>
  </si>
  <si>
    <t>World Agri-Tech Innovation Summit</t>
  </si>
  <si>
    <t>Global agrifood innovation summit connecting agribusiness executives, investors, startups and researchers around scalable agricultural technologies. The official programme focus includes agri-tech investment, biologicals, automation, climate-smart agriculture, and crop resilience.</t>
  </si>
  <si>
    <t>https://worldagritechusa.com/</t>
  </si>
  <si>
    <t>San Francisco, California, USA</t>
  </si>
  <si>
    <t>March</t>
  </si>
  <si>
    <t>Annual</t>
  </si>
  <si>
    <t>Rethink Events</t>
  </si>
  <si>
    <t>Agri-tech investment · Biologicals · Automation · Climate-smart agriculture · Crop resilience</t>
  </si>
  <si>
    <t>Yes</t>
  </si>
  <si>
    <t>No</t>
  </si>
  <si>
    <t>Medium – Established Event (3–9 years)</t>
  </si>
  <si>
    <t>High – International Recognition</t>
  </si>
  <si>
    <t>High – Large Event (1,000+ participants)</t>
  </si>
  <si>
    <t>High – Senior Leaders / Decision-Makers</t>
  </si>
  <si>
    <t>High – Global / Leading Organization</t>
  </si>
  <si>
    <t>High – Global Reach</t>
  </si>
  <si>
    <t>🟢 Tier 1 — High-Influence Events</t>
  </si>
  <si>
    <t>CANVAS</t>
  </si>
  <si>
    <t>Joint scientific meeting of the American Society of Agronomy, Crop Science Society of America and Soil Science Society of America. The official programme focus includes agronomy, crop science, soil science, applied research, and climate resilience.</t>
  </si>
  <si>
    <t>https://www.sciencesocieties.org/canvas</t>
  </si>
  <si>
    <t>Portland, Oregon, USA</t>
  </si>
  <si>
    <t>November</t>
  </si>
  <si>
    <t>ASA, CSSA and SSSA</t>
  </si>
  <si>
    <t>Agronomy · Crop science · Soil science · Applied research · Climate resilience</t>
  </si>
  <si>
    <t>High – Long-established Event (10+ years)</t>
  </si>
  <si>
    <t>Medium – Field Experts / Professionals</t>
  </si>
  <si>
    <t>World Ag Expo</t>
  </si>
  <si>
    <t>Large agricultural trade show covering farm equipment, irrigation, dairy, crop technologies and practical production solutions. The official programme focus includes agricultural equipment, irrigation, precision farming, and production systems.</t>
  </si>
  <si>
    <t>https://www.worldagexpo.com/</t>
  </si>
  <si>
    <t>Tulare, California, USA</t>
  </si>
  <si>
    <t>February</t>
  </si>
  <si>
    <t>International Agri-Center</t>
  </si>
  <si>
    <t>Agricultural equipment · Irrigation · Precision farming · Production systems</t>
  </si>
  <si>
    <t>Farm Progress Show</t>
  </si>
  <si>
    <t>Farmer-oriented outdoor exhibition featuring machinery demonstrations, seed technologies, crop inputs and precision agriculture. The official programme focus includes farm machinery, precision agriculture, crop production, inputs, and demonstrations.</t>
  </si>
  <si>
    <t>https://www.farmprogressshow.com/</t>
  </si>
  <si>
    <t>Various locations, USA</t>
  </si>
  <si>
    <t>September</t>
  </si>
  <si>
    <t>Farm Progress</t>
  </si>
  <si>
    <t>Farm machinery · Precision agriculture · Crop production · Inputs · Demonstrations</t>
  </si>
  <si>
    <t>Medium – National / Regional Reach</t>
  </si>
  <si>
    <t>Sustainable Agriculture Summit</t>
  </si>
  <si>
    <t>Food-and-agriculture value-chain forum focused on sustainability, resilience, emissions, nature and implementation partnerships. The official programme focus includes sustainable food systems, climate resilience, supply chains, nature, and measurement.</t>
  </si>
  <si>
    <t>https://www.sustainableagsummit.org/</t>
  </si>
  <si>
    <t>Fort Worth, Texas, USA</t>
  </si>
  <si>
    <t>Sustainable Agriculture Summit partner organizations</t>
  </si>
  <si>
    <t>Sustainable food systems · Climate resilience · Supply chains · Nature · Measurement</t>
  </si>
  <si>
    <t>ASABE Annual International Meeting</t>
  </si>
  <si>
    <t>Engineering and technology meeting covering agricultural, biological and food systems research, design and applications. The official programme focus includes agricultural engineering, automation, irrigation, food systems, and applied research.</t>
  </si>
  <si>
    <t>https://asabeaim.org/</t>
  </si>
  <si>
    <t>Indianapolis, Indiana, USA</t>
  </si>
  <si>
    <t>July</t>
  </si>
  <si>
    <t>American Society of Agricultural and Biological Engineers</t>
  </si>
  <si>
    <t>Agricultural engineering · Automation · Irrigation · Food systems · Applied research</t>
  </si>
  <si>
    <t>Medium – Mid-size Event (300–1,000 participants)</t>
  </si>
  <si>
    <t>Salinas Biological Summit</t>
  </si>
  <si>
    <t>Specialized agriculture biologicals forum addressing adoption of biological inputs, crop nutrition and integrated crop protection. The official programme focus includes biological inputs, plant nutrition, crop protection, and grower adoption.</t>
  </si>
  <si>
    <t>https://www.salinas-summit.com/</t>
  </si>
  <si>
    <t>Salinas, California, USA</t>
  </si>
  <si>
    <t>June</t>
  </si>
  <si>
    <t>Wharf42 and Western Growers</t>
  </si>
  <si>
    <t>Biological inputs · Plant nutrition · Crop protection · Grower adoption</t>
  </si>
  <si>
    <t>Medium – Sector/National Recognition</t>
  </si>
  <si>
    <t>Medium – Established Sector Organization</t>
  </si>
  <si>
    <t>🟡 Tier 2 — Established Events</t>
  </si>
  <si>
    <t>Tech Hub LIVE</t>
  </si>
  <si>
    <t>Agricultural technology meeting for ag retailers, advisers and technology providers using data and digital tools in crop production. The official programme focus includes precision agriculture, data systems, ag retail, remote sensing, and digital tools.</t>
  </si>
  <si>
    <t>https://techhublive.com/</t>
  </si>
  <si>
    <t>Des Moines, Iowa, USA</t>
  </si>
  <si>
    <t>CropLife Media Group / Global AgTech Initiative</t>
  </si>
  <si>
    <t>Precision agriculture · Data systems · Ag retail · Remote sensing · Digital tools</t>
  </si>
  <si>
    <t>AgTech Innovation Summit – University of Illinois</t>
  </si>
  <si>
    <t>University–industry summit connecting agricultural researchers, corporations, entrepreneurs, students and investors. The official programme focus includes agri-tech research, startups, AI, corporate innovation, and entrepreneurship.</t>
  </si>
  <si>
    <t>https://researchpark.illinois.edu/all-events/agtechsummit/</t>
  </si>
  <si>
    <t>Champaign, Illinois, USA</t>
  </si>
  <si>
    <t>University of Illinois Research Park and Bayer</t>
  </si>
  <si>
    <t>Agri-tech research · Startups · AI · Corporate innovation · Entrepreneurship</t>
  </si>
  <si>
    <t>Agronomy Conference &amp; Expo</t>
  </si>
  <si>
    <t>Professional agronomy meeting focused on fertilizer markets, nutrient stewardship, crop advisers and precision application. The official programme focus includes agronomy, fertilizers, nutrient management, precision application, and sustainability.</t>
  </si>
  <si>
    <t>https://www.tfi.org/event/agronomy-conference-and-expo-2/</t>
  </si>
  <si>
    <t>August</t>
  </si>
  <si>
    <t>The Fertilizer Institute</t>
  </si>
  <si>
    <t>Agronomy · Fertilizers · Nutrient management · Precision application · Sustainability</t>
  </si>
  <si>
    <t>Eco-Ag Conference &amp; Trade Show</t>
  </si>
  <si>
    <t>Regenerative agriculture conference combining practical education, farmer case studies and a soil-health trade show. The official programme focus includes soil health, regenerative agriculture, biological farming, and farm economics.</t>
  </si>
  <si>
    <t>https://conference.eco-ag.com/</t>
  </si>
  <si>
    <t>Coralville, Iowa, USA</t>
  </si>
  <si>
    <t>December</t>
  </si>
  <si>
    <t>Acres U.S.A.</t>
  </si>
  <si>
    <t>Soil health · Regenerative agriculture · Biological farming · Farm economics</t>
  </si>
  <si>
    <t>AI in Agriculture Conference – NC State University</t>
  </si>
  <si>
    <t>Applied research conference on artificial intelligence, data systems and automation for resilient agricultural production. The official programme focus includes agricultural AI, data science, automation, diagnostics, and resilience.</t>
  </si>
  <si>
    <t>https://units.cals.ncsu.edu/2026-ai-ag-conference/</t>
  </si>
  <si>
    <t>Raleigh, North Carolina, USA</t>
  </si>
  <si>
    <t>March–April</t>
  </si>
  <si>
    <t>North Carolina State University</t>
  </si>
  <si>
    <t>Agricultural AI · Data science · Automation · Diagnostics · Resilience</t>
  </si>
  <si>
    <t>Indoor Ag-Con</t>
  </si>
  <si>
    <t>Conference and exhibition for controlled-environment agriculture, including greenhouses, vertical farming and indoor crop technologies. The official programme focus includes controlled-environment agriculture, vertical farming, automation, and resource efficiency.</t>
  </si>
  <si>
    <t>https://indoor.ag/</t>
  </si>
  <si>
    <t>Las Vegas, Nevada, USA</t>
  </si>
  <si>
    <t>Controlled-environment agriculture · Vertical farming · Automation · Resource efficiency</t>
  </si>
  <si>
    <t>National No-Tillage Conference</t>
  </si>
  <si>
    <t>Practitioner conference on no-till farming, soil conservation, cover crops and farm profitability. The official programme focus includes no-till systems, soil health, cover crops, and conservation agriculture.</t>
  </si>
  <si>
    <t>https://www.no-tillfarmer.com/nntc</t>
  </si>
  <si>
    <t>January</t>
  </si>
  <si>
    <t>No-Till Farmer / Lessiter Media</t>
  </si>
  <si>
    <t>No-till systems · Soil health · Cover crops · Conservation agriculture</t>
  </si>
  <si>
    <t>RegenerativeNYC</t>
  </si>
  <si>
    <t>New York forum linking regenerative agriculture, food, finance, climate and supply-chain stakeholders. The official programme focus includes regenerative agriculture, food systems, finance, climate, and supply chains.</t>
  </si>
  <si>
    <t>https://whyregenerative.com/regenerativenyc</t>
  </si>
  <si>
    <t>New York City, New York, USA</t>
  </si>
  <si>
    <t>April</t>
  </si>
  <si>
    <t>Why Regenerative</t>
  </si>
  <si>
    <t>Regenerative agriculture · Food systems · Finance · Climate · Supply chains</t>
  </si>
  <si>
    <t>Low – Emerging / Independent Organizer</t>
  </si>
  <si>
    <t>Agri AI Summit</t>
  </si>
  <si>
    <t>Focused commercial summit on artificial intelligence, robotics, automation and data applications across agriculture. The official programme focus includes agricultural AI, robotics, automation, soil analytics, and decision support.</t>
  </si>
  <si>
    <t>https://www.agri-ai-summit.com/</t>
  </si>
  <si>
    <t>Anaheim, California, USA</t>
  </si>
  <si>
    <t>IQ International Pte. Ltd.</t>
  </si>
  <si>
    <t>Agricultural AI · Robotics · Automation · Soil analytics · Decision support</t>
  </si>
  <si>
    <t>Low – New / Emerging Event (&lt;3 years)</t>
  </si>
  <si>
    <t>Low – Emerging/Niche Recognition</t>
  </si>
  <si>
    <t>Low – Small Event (&lt;300 participants)</t>
  </si>
  <si>
    <t>🔵 Tier 3 — Emerging / Niche Events</t>
  </si>
  <si>
    <t>Commodity Classic</t>
  </si>
  <si>
    <t>Farmer-led convention and trade show serving major U.S. commodity-crop producers and agribusiness suppliers. The official programme focus includes row crops, precision agriculture, equipment, inputs, and farm policy.</t>
  </si>
  <si>
    <t>https://commodityclassic.com/</t>
  </si>
  <si>
    <t>New Orleans, Louisiana, USA</t>
  </si>
  <si>
    <t>U.S. commodity-crop producer associations</t>
  </si>
  <si>
    <t>Row crops · Precision agriculture · Equipment · Inputs · Farm policy</t>
  </si>
  <si>
    <t>Grow-NY Food and Ag Summit</t>
  </si>
  <si>
    <t>Food and agriculture innovation summit featuring startup pitches, investors, research partners and entrepreneurship programming. The official programme focus includes food and ag startups, entrepreneurship, investment, and innovation ecosystem.</t>
  </si>
  <si>
    <t>https://www.grow-ny.com/summit-new/</t>
  </si>
  <si>
    <t>Rochester, New York, USA</t>
  </si>
  <si>
    <t>Cornell University Center for Regional Economic Advancement and Empire State Development</t>
  </si>
  <si>
    <t>Food and ag startups · Entrepreneurship · Investment · Innovation ecosystem</t>
  </si>
  <si>
    <t>Plant Health Annual Meeting</t>
  </si>
  <si>
    <t>Scientific meeting on plant pathology, disease management, microbiomes and crop-health research. The official programme focus includes plant disease, crop resilience, microbiomes, diagnostics, and plant health research.</t>
  </si>
  <si>
    <t>https://www.apsnet.org/meetings/annual/Pages/default.aspx</t>
  </si>
  <si>
    <t>Providence, Rhode Island, USA</t>
  </si>
  <si>
    <t>American Phytopathological Society</t>
  </si>
  <si>
    <t>Plant disease · Crop resilience · Microbiomes · Diagnostics · Plant health research</t>
  </si>
  <si>
    <t>Norman E. Borlaug International Dialogue</t>
  </si>
  <si>
    <t>World Food Prize forum convening global leaders on food security, agriculture, nutrition and development. The official programme focus includes global food security, agricultural development, nutrition, policy, and innovation.</t>
  </si>
  <si>
    <t>https://www.worldfoodprize.org/en/events/borlaug_dialogue/2026_borlaug_dialogue/</t>
  </si>
  <si>
    <t>October</t>
  </si>
  <si>
    <t>World Food Prize Foundation</t>
  </si>
  <si>
    <t>Global food security · Agricultural development · Nutrition · Policy · Innovation</t>
  </si>
  <si>
    <t>UC Davis Plant Sciences Symposium</t>
  </si>
  <si>
    <t>Student-led plant-science symposium featuring academic research, industry perspectives and early-career scientific exchange. The official programme focus includes plant science, crop research, genetics, climate resilience, and early-career researchers.</t>
  </si>
  <si>
    <t>https://plantsciencesymposium.ucdavis.edu/</t>
  </si>
  <si>
    <t>Davis, California, USA + Online</t>
  </si>
  <si>
    <t>May</t>
  </si>
  <si>
    <t>UC Davis Plant Sciences Symposium organizing committee</t>
  </si>
  <si>
    <t>Plant science · Crop research · Genetics · Climate resilience · Early-career researchers</t>
  </si>
  <si>
    <t>WEFTEC — Water Environment Federation Technical Exhibition and Conference</t>
  </si>
  <si>
    <t>Water-quality conference and exhibition covering wastewater, resource recovery, treatment technologies and utility operations. The official programme focus includes wastewater treatment, water reuse, resource recovery, and utility technology.</t>
  </si>
  <si>
    <t>https://www.weftec.org/</t>
  </si>
  <si>
    <t>Water Environment Federation</t>
  </si>
  <si>
    <t>Wastewater treatment · Water reuse · Resource recovery · Utility technology</t>
  </si>
  <si>
    <t>AWWA Annual Conference &amp; Expo (ACE)</t>
  </si>
  <si>
    <t>Drinking-water conference and exhibition for utilities, engineers, researchers, regulators and technology providers. The official programme focus includes drinking water, treatment, distribution, utility management, and policy.</t>
  </si>
  <si>
    <t>https://ace.awwa.org/</t>
  </si>
  <si>
    <t>Washington, D.C., USA</t>
  </si>
  <si>
    <t>American Water Works Association</t>
  </si>
  <si>
    <t>Drinking water · Treatment · Distribution · Utility management · Policy</t>
  </si>
  <si>
    <t>AWWA Water Infrastructure Conference</t>
  </si>
  <si>
    <t>Focused conference on drinking-water infrastructure planning, renewal, asset management and resilience. The official programme focus includes water infrastructure, asset management, resilience, and capital planning.</t>
  </si>
  <si>
    <t>https://www.awwa.org/event/water-infrastructure-conference/</t>
  </si>
  <si>
    <t>August–September</t>
  </si>
  <si>
    <t>Water infrastructure · Asset management · Resilience · Capital planning</t>
  </si>
  <si>
    <t>WateReuse Symposium</t>
  </si>
  <si>
    <t>National water-reuse conference connecting utilities, regulators, researchers, technology providers and project developers. The official programme focus includes water reuse, recycling, treatment, regulation, and water security.</t>
  </si>
  <si>
    <t>https://watereuse.org/news-events/conferences/</t>
  </si>
  <si>
    <t>WateReuse Association</t>
  </si>
  <si>
    <t>Water reuse · Recycling · Treatment · Regulation · Water security</t>
  </si>
  <si>
    <t>AWRA Annual Water Resources Conference</t>
  </si>
  <si>
    <t>Interdisciplinary water-resources conference spanning hydrology, policy, modeling, governance and management. The official programme focus includes water policy, hydrology, modeling, groundwater, and climate resilience.</t>
  </si>
  <si>
    <t>https://www.awra.org/AWRA/Members/Events_and_Education/Events/2026-Landing-Pages/01_Annual/Annual2026.aspx</t>
  </si>
  <si>
    <t>Philadelphia, Pennsylvania, USA</t>
  </si>
  <si>
    <t>American Water Resources Association</t>
  </si>
  <si>
    <t>Water policy · Hydrology · Modeling · Groundwater · Climate resilience</t>
  </si>
  <si>
    <t>Water Week — National Water Policy Fly-In</t>
  </si>
  <si>
    <t>National advocacy and policy program bringing water-sector organizations and utility leaders to Washington. The official programme focus includes federal water policy, infrastructure finance, utility advocacy, and water access.</t>
  </si>
  <si>
    <t>https://www.waterweek.us/</t>
  </si>
  <si>
    <t>AMWA, NACWA, The Water Research Foundation, WEF and WateReuse Association</t>
  </si>
  <si>
    <t>Federal water policy · Infrastructure finance · Utility advocacy · Water access</t>
  </si>
  <si>
    <t>Multi-State Salinity Coalition Annual Salinity Summit</t>
  </si>
  <si>
    <t>Specialized summit on salinity management, desalination, reuse, brine and water-energy policy. The official programme focus includes salinity, desalination, brine management, water reuse, and water-energy nexus.</t>
  </si>
  <si>
    <t>https://www.multi-statesalinitycoalition.com/mssc-summit/</t>
  </si>
  <si>
    <t>Multi-State Salinity Coalition</t>
  </si>
  <si>
    <t>Salinity · Desalination · Brine management · Water reuse · Water-energy nexus</t>
  </si>
  <si>
    <t>Irrigation Show and Education Week</t>
  </si>
  <si>
    <t>Irrigation-industry exhibition and education program covering agricultural, landscape and water-efficiency technologies. The official programme focus includes irrigation, water efficiency, agricultural water management, and technology.</t>
  </si>
  <si>
    <t>https://www.irrigation.org/2026show/</t>
  </si>
  <si>
    <t>Irrigation Association</t>
  </si>
  <si>
    <t>Irrigation · Water efficiency · Agricultural water management · Technology</t>
  </si>
  <si>
    <t>Texas Water</t>
  </si>
  <si>
    <t>Regional water conference and exhibition for water and wastewater utilities, engineers and public-sector professionals. The official programme focus includes water utilities, treatment, infrastructure, drought, and regional policy.</t>
  </si>
  <si>
    <t>https://www.txwater.org/</t>
  </si>
  <si>
    <t>Houston, Texas, USA</t>
  </si>
  <si>
    <t>Texas Section AWWA and Water Environment Association of Texas</t>
  </si>
  <si>
    <t>Water utilities · Treatment · Infrastructure · Drought · Regional policy</t>
  </si>
  <si>
    <t>Low – Local Reach</t>
  </si>
  <si>
    <t>WaterSmart Innovations Conference</t>
  </si>
  <si>
    <t>Water-efficiency and conservation conference addressing demand management, climate resilience and sustainable-utility practice. The official programme focus includes water conservation, demand management, efficiency, and climate resilience.</t>
  </si>
  <si>
    <t>https://www.awwa.org/event/watersmart-innovations/</t>
  </si>
  <si>
    <t>Water conservation · Demand management · Efficiency · Climate resilience</t>
  </si>
  <si>
    <t>The AI Conference</t>
  </si>
  <si>
    <t>Applied and frontier AI conference for technical leaders, founders, researchers, investors and enterprise practitioners. The official programme focus includes applied AI, frontier models, infrastructure, startups, and governance.</t>
  </si>
  <si>
    <t>https://aiconference.com/</t>
  </si>
  <si>
    <t>September–October</t>
  </si>
  <si>
    <t>Applied AI · Frontier models · Infrastructure · Startups · Governance</t>
  </si>
  <si>
    <t>Databricks Data + AI Summit</t>
  </si>
  <si>
    <t>Global data and artificial intelligence conference focused on data platforms, machine learning and enterprise applications. The official programme focus includes data platforms, machine learning, generative AI, analytics, and governance.</t>
  </si>
  <si>
    <t>https://www.databricks.com/dataaisummit</t>
  </si>
  <si>
    <t>Databricks</t>
  </si>
  <si>
    <t>Data platforms · Machine learning · Generative AI · Analytics · Governance</t>
  </si>
  <si>
    <t>AAAI Conference on Artificial Intelligence</t>
  </si>
  <si>
    <t>Long-running international research conference covering foundational and applied artificial intelligence. The official programme focus includes AI research, machine learning, responsible AI, planning, and knowledge systems.</t>
  </si>
  <si>
    <t>https://aaai.org/conference/aaai/</t>
  </si>
  <si>
    <t>Various international locations</t>
  </si>
  <si>
    <t>Association for the Advancement of Artificial Intelligence</t>
  </si>
  <si>
    <t>AI research · Machine learning · Responsible AI · Planning · Knowledge systems</t>
  </si>
  <si>
    <t>USA Artificial Intelligence Summit</t>
  </si>
  <si>
    <t>Washington policy summit focused on U.S. artificial intelligence governance, public policy and institutional leadership. The official programme focus includes AI policy, governance, public sector, regulation, and national strategy.</t>
  </si>
  <si>
    <t>https://us-aisummit.com/</t>
  </si>
  <si>
    <t>Forum Global</t>
  </si>
  <si>
    <t>AI policy · Governance · Public sector · Regulation · National strategy</t>
  </si>
  <si>
    <t>The AI Summit New York</t>
  </si>
  <si>
    <t>Enterprise AI conference and exhibition for business leaders, technology providers and AI practitioners. The official programme focus includes enterprise AI, AI strategy, governance, infrastructure, and applications.</t>
  </si>
  <si>
    <t>https://newyork.theaisummit.com/</t>
  </si>
  <si>
    <t>Informa TechTarget</t>
  </si>
  <si>
    <t>Enterprise AI · AI strategy · Governance · Infrastructure · Applications</t>
  </si>
  <si>
    <t>Machine Learning for Healthcare Conference (MLHC)</t>
  </si>
  <si>
    <t>Research meeting connecting clinicians and machine-learning researchers on predictive systems, diagnostics and responsible health AI. The official programme focus includes predictive health, clinical machine learning, diagnostics, and responsible AI.</t>
  </si>
  <si>
    <t>https://mlhc.org/</t>
  </si>
  <si>
    <t>Machine Learning for Healthcare organizers</t>
  </si>
  <si>
    <t>Predictive health · Clinical machine learning · Diagnostics · Responsible AI</t>
  </si>
  <si>
    <t>EmTech AI — MIT Technology Review</t>
  </si>
  <si>
    <t>Executive conference on emerging artificial intelligence capabilities, adoption, governance and societal implications. The official programme focus includes emerging AI, responsible AI, enterprise adoption, policy, and research.</t>
  </si>
  <si>
    <t>https://event.technologyreview.com/emtech-ai-2026</t>
  </si>
  <si>
    <t>Cambridge, Massachusetts, USA + Online</t>
  </si>
  <si>
    <t>MIT Technology Review</t>
  </si>
  <si>
    <t>Emerging AI · Responsible AI · Enterprise adoption · Policy · Research</t>
  </si>
  <si>
    <t>AI Con USA</t>
  </si>
  <si>
    <t>Technical conference and workshops on building, testing, deploying and governing artificial intelligence systems. The official programme focus includes applied AI, machine learning engineering, testing, MLOps, and governance.</t>
  </si>
  <si>
    <t>https://aiconusa.techwell.com/</t>
  </si>
  <si>
    <t>Seattle, Washington, USA + Online</t>
  </si>
  <si>
    <t>TechWell</t>
  </si>
  <si>
    <t>Applied AI · Machine learning engineering · Testing · MLOps · Governance</t>
  </si>
  <si>
    <t>AHLI Conference on Health, Inference, and Learning (CHIL)</t>
  </si>
  <si>
    <t>Interdisciplinary health-AI research conference spanning machine learning, clinical inference, fairness and healthcare delivery. The official programme focus includes health AI, clinical inference, fairness, machine learning, and healthcare delivery.</t>
  </si>
  <si>
    <t>https://chil.ahli.cc/</t>
  </si>
  <si>
    <t>Seattle, Washington, USA</t>
  </si>
  <si>
    <t>Alliance for Health, Learning and Inference</t>
  </si>
  <si>
    <t>Health AI · Clinical inference · Fairness · Machine learning · Healthcare delivery</t>
  </si>
  <si>
    <t>RE+</t>
  </si>
  <si>
    <t>North America's largest clean energy trade show, formerly Solar Power International, spanning solar, storage, hydrogen, microgrids, wind and EV infrastructure. The 2025 edition drew over 37,000 professionals and 1,325 exhibitors; the show moves to the Las Vegas Convention Center for its 2026–2028 run.</t>
  </si>
  <si>
    <t>https://www.re-plus.com/</t>
  </si>
  <si>
    <t>SEIA and SEPA</t>
  </si>
  <si>
    <t>Solar · Energy storage · Microgrids · Hydrogen · Wind · EV infrastructure</t>
  </si>
  <si>
    <t>CERAWeek by S&amp;P Global</t>
  </si>
  <si>
    <t>Executive energy conference convening ministers, energy majors, utilities and technology leaders. The 2026 edition, themed 'Convergence and Competition: Energy, Technology and Geopolitics', drew over 10,000 participants including 1,620 C-suite executives and 84 government ministers across an Executive Conference and a parallel Innovation Agora.</t>
  </si>
  <si>
    <t>https://ceraweek.com/</t>
  </si>
  <si>
    <t>S&amp;P Global</t>
  </si>
  <si>
    <t>Energy markets · Geopolitics · Energy security · Transition technologies · Finance · AI and power demand</t>
  </si>
  <si>
    <t>Climate Week NYC</t>
  </si>
  <si>
    <t>City-wide climate convening of more than 1,000 independently organised events, deliberately scheduled alongside the UN General Assembly. Reported participation exceeds 100,000, with 5,500 business, government and civil society leaders on site; any organisation can apply to host an event in the official programme.</t>
  </si>
  <si>
    <t>https://www.climateweeknyc.org/</t>
  </si>
  <si>
    <t>Climate Group</t>
  </si>
  <si>
    <t>Climate action · Energy transition · Climate finance · Industrial decarbonisation · Nature · Policy</t>
  </si>
  <si>
    <t>MIT Energy Conference</t>
  </si>
  <si>
    <t>Student-run conference now in its third decade, convening industry, academia, startups and finance around grid flexibility, AI-optimised energy systems, heavy-industry decarbonisation and climate finance.</t>
  </si>
  <si>
    <t>https://www.mitenergyconference.org/</t>
  </si>
  <si>
    <t>Cambridge, Massachusetts, USA</t>
  </si>
  <si>
    <t>MIT Energy and Climate Club</t>
  </si>
  <si>
    <t>Power grids · AI in energy systems · Industrial decarbonisation · Climate finance · Energy startups</t>
  </si>
  <si>
    <t>UT Energy Week</t>
  </si>
  <si>
    <t>Five-day university conference running since 2015, free and open to the public, spanning nuclear, geothermal, critical minerals, AI infrastructure and energy policy. Includes a campus tour of the Carl J. Eckhardt combined heat and power complex, one of the largest microgrids in the United States.</t>
  </si>
  <si>
    <t>https://energy.utexas.edu/</t>
  </si>
  <si>
    <t>Austin, Texas, USA</t>
  </si>
  <si>
    <t>UT Austin Energy Institute and Kay Bailey Hutchison Energy Center</t>
  </si>
  <si>
    <t>Energy policy · Nuclear · Geothermal · Critical minerals · AI infrastructure · Energy workforce</t>
  </si>
  <si>
    <t>Trellis Impact</t>
  </si>
  <si>
    <t>Sustainability and climate conference formed by merging the former VERGE, Bloom and GreenFin events into a single platform. Convenes more than 4,000 participants across carbon, energy, circular economy and climate technology, with a dedicated AI-and-sustainability programme and a Startup Day.</t>
  </si>
  <si>
    <t>https://trellis.net/events/trellis-impact/</t>
  </si>
  <si>
    <t>Trellis Group</t>
  </si>
  <si>
    <t>Climate technology · Carbon · Circular economy · Energy · Sustainable finance · AI and sustainability</t>
  </si>
  <si>
    <t>ARPA-E Energy Innovation Summit</t>
  </si>
  <si>
    <t>U.S. Department of Energy summit showcasing pre-commercial energy technologies, drawing roughly 3,000 participants. Programme Directors deliver 'fast pitches' signalling the research areas ARPA-E may fund next — recent examples include superconductors, nuclear fuel cycles, solid-state heat engines and fusion fuels.</t>
  </si>
  <si>
    <t>https://www.arpae-summit.com/</t>
  </si>
  <si>
    <t>Advanced Research Projects Agency-Energy (ARPA-E), U.S. Department of Energy</t>
  </si>
  <si>
    <t>Breakthrough energy R&amp;D · Technology commercialisation · Grid · Storage · Nuclear · Superconductors</t>
  </si>
  <si>
    <t>CLEANPOWER Conference &amp; Exhibition</t>
  </si>
  <si>
    <t>Clean energy industry conference and exhibition spanning onshore and offshore wind, solar, storage and transmission, with attendees from more than 35 countries. Brings the full value chain together: developers, utilities, manufacturers, construction firms, corporate buyers, financiers and policymakers.</t>
  </si>
  <si>
    <t>https://cleanpower.org/expo/</t>
  </si>
  <si>
    <t>American Clean Power Association</t>
  </si>
  <si>
    <t>Wind · Solar · Energy storage · Transmission · Project development · Clean energy policy</t>
  </si>
  <si>
    <t>DTECH</t>
  </si>
  <si>
    <t>Transmission and distribution conference covering grid modernisation, distributed energy resource management, advanced metering, cybersecurity and utility digitalisation. Now expanding into focused spin-off events on Data Centres &amp; AI, reliability and regional markets, reflecting surging grid load from computing demand.</t>
  </si>
  <si>
    <t>https://www.distributech.com/</t>
  </si>
  <si>
    <t>Clarion Events</t>
  </si>
  <si>
    <t>Grid modernisation · Transmission &amp; distribution · DER management · Smart grid · Utility cybersecurity</t>
  </si>
  <si>
    <t>BNEF Summit New York</t>
  </si>
  <si>
    <t>Invitation-oriented summit running since 2008, convening around 700 energy executives, investors, financiers and policymakers at a single hotel venue. The 2026 agenda centred on AI-driven power demand, grid innovation and financing the next wave of energy technologies.</t>
  </si>
  <si>
    <t>https://about.bnef.com/</t>
  </si>
  <si>
    <t>BloombergNEF</t>
  </si>
  <si>
    <t>Energy transition finance · AI and power demand · Grid innovation · Industrial transition · Transport</t>
  </si>
  <si>
    <t>Columbia Global Energy Summit</t>
  </si>
  <si>
    <t>One-day summit hosted by Columbia University's Center on Global Energy Policy at Lerner Hall, addressing energy security, geopolitics, energy finance and climate policy. Convened by one of the most cited academic energy policy institutions in the United States.</t>
  </si>
  <si>
    <t>https://www.energypolicy.columbia.edu/</t>
  </si>
  <si>
    <t>Center on Global Energy Policy, Columbia University SIPA</t>
  </si>
  <si>
    <t>Global energy policy · Energy security · Geopolitics · Energy finance · Climate policy</t>
  </si>
  <si>
    <t>International Battery Seminar &amp; Exhibit</t>
  </si>
  <si>
    <t>The longest-running annual battery event in the world, founded in 1983, covering advanced battery technologies for consumer, automotive, grid, military and industrial use. The 2026 programme featured more than 50 OEMs and cell developers including Tesla, Ford, Panasonic and Amazon.</t>
  </si>
  <si>
    <t>https://www.internationalbatteryseminar.com/</t>
  </si>
  <si>
    <t>Orlando, Florida, USA</t>
  </si>
  <si>
    <t>Cambridge EnerTech</t>
  </si>
  <si>
    <t>Battery technology · Cell chemistry · Battery materials · Grid storage · Manufacturing</t>
  </si>
  <si>
    <t>Energy Storage Summit USA</t>
  </si>
  <si>
    <t>Energy storage conference connecting developers, utilities, investors and technology providers on market design, project development, grid integration and storage finance. Recent programming has focused heavily on financing structures after tax-credit changes and on data-centre-driven demand.</t>
  </si>
  <si>
    <t>https://storageusa.solarenergyevents.com/</t>
  </si>
  <si>
    <t>Solar Media</t>
  </si>
  <si>
    <t>Energy storage · Project finance · Market design · Grid integration · Procurement · Supply chain</t>
  </si>
  <si>
    <t>Hydrogen Americas Summit &amp; Exhibition</t>
  </si>
  <si>
    <t>Hydrogen and CCUS summit convening government, heavy industry, energy majors and technology innovators from across the Americas, with around 1,000 senior decision-makers and off-takers. Organised by the Sustainable Energy Council, now part of RX, which also runs the World Hydrogen Summit.</t>
  </si>
  <si>
    <t>https://www.world-hydrogen-summit.com/americas/en-gb.html</t>
  </si>
  <si>
    <t>Sustainable Energy Council (RX)</t>
  </si>
  <si>
    <t>Hydrogen · CCUS · Off-take agreements · Infrastructure · Policy · Investment</t>
  </si>
  <si>
    <t>The Battery Show North America</t>
  </si>
  <si>
    <t>Advanced battery and EV technology trade show with more than 1,300 exhibitors, 16,000 attendees and 250+ speakers across four days. Covers cell chemistry, module and pack design, battery management, thermal management, manufacturing equipment, testing, safety, recycling and supply chain.</t>
  </si>
  <si>
    <t>https://www.thebatteryshow.com/</t>
  </si>
  <si>
    <t>Detroit, Michigan, USA</t>
  </si>
  <si>
    <t>Informa Markets</t>
  </si>
  <si>
    <t>Battery manufacturing · EV technology · Cell chemistry · Thermal management · Recycling · Supply chain</t>
  </si>
  <si>
    <t>MINING</t>
  </si>
  <si>
    <t>MINExpo INTERNATIONAL</t>
  </si>
  <si>
    <t>The world's largest mining trade show, held at the Las Vegas Convention Center since 1996 and drawing over 2,000 exhibitors and 45,000 visitors across roughly 186,000 square metres. Covers the full mining chain — exploration, site development, open pit and underground mining, smelting, processing and reclamation — with the largest excavators and haul trucks in the world on the show floor.</t>
  </si>
  <si>
    <t>https://www.minexpo.com/</t>
  </si>
  <si>
    <t>Quadrennial</t>
  </si>
  <si>
    <t>National Mining Association (NMA)</t>
  </si>
  <si>
    <t>Mining equipment &amp; machinery · Mineral processing · Automation &amp; robotics · Mine safety · Exploration · Reclamation</t>
  </si>
  <si>
    <t>SME Annual Conference &amp; Expo — MINEXCHANGE</t>
  </si>
  <si>
    <t>The principal North American technical conference for mining, metallurgy and exploration, convening over 6,000 industry professionals alongside the CMA Western Mining Summit. Programming spans mineral and metallurgical processing, mining studies, mineral economics and materials handling, with ticketed short courses and an awards programme.</t>
  </si>
  <si>
    <t>https://smeannualconference.org/</t>
  </si>
  <si>
    <t>Society for Mining, Metallurgy &amp; Exploration (SME)</t>
  </si>
  <si>
    <t>Mining engineering · Metallurgy · Mineral processing · Exploration · Mineral economics · Responsible mining</t>
  </si>
  <si>
    <t>Critical Minerals Forum Annual Summit</t>
  </si>
  <si>
    <t>Summit convening government and industry voices across the critical minerals value chain, addressing supply chain security, processing capacity and investment. Programming reflects U.S. federal priorities around reducing dependence on concentrated foreign supply of rare earths and battery metals.</t>
  </si>
  <si>
    <t>https://criticalmineralsforum.org/</t>
  </si>
  <si>
    <t>Critical Minerals Forum</t>
  </si>
  <si>
    <t>Critical minerals · Supply chain security · Rare earths · Minerals policy · Investment · Processing capacity</t>
  </si>
  <si>
    <t>AEMA Annual Meeting &amp; Exposition</t>
  </si>
  <si>
    <t>Annual meeting of the American Exploration &amp; Mining Association, representing the full mining lifecycle from exploration through production to reclamation and closure. Features more than 100 speakers, 250 exhibitors and an extensive core shack, with a membership spanning corporate operators, explorationists, small miners and suppliers.</t>
  </si>
  <si>
    <t>https://www.miningamerica.org/annualmeeting</t>
  </si>
  <si>
    <t>Spokane, Washington, USA</t>
  </si>
  <si>
    <t>American Exploration &amp; Mining Association (AEMA)</t>
  </si>
  <si>
    <t>Mineral exploration · Hardrock mining · Mining policy &amp; permitting · Reclamation · Land access</t>
  </si>
  <si>
    <t>Critical Minerals North America Conference &amp; Exhibition</t>
  </si>
  <si>
    <t>The Americas' longest-running international critical minerals investment and supply chain event, drawing delegates from more than 20 countries with roughly 65% U.S.-based participation. Explicitly positioned around Western supply chain independence in rare earths, battery metals and critical industrial inputs, bridging mining, automotive, defence and space sectors.</t>
  </si>
  <si>
    <t>https://www.criticalmineralsnorthamerica.com/</t>
  </si>
  <si>
    <t>Spire Events</t>
  </si>
  <si>
    <t>Critical minerals · Rare earths · Supply chain security · Mining investment · Battery metals · Defence &amp; aerospace</t>
  </si>
  <si>
    <t>Tailings and Mine Waste Conference</t>
  </si>
  <si>
    <t>The leading technical conference on tailings and mine waste management, covering geotechnical, environmental and regulatory topics across the facility life cycle. Hosted jointly by Colorado State University, the University of British Columbia and the University of Alberta, and drawing over 1,200 delegates from around 30 countries.</t>
  </si>
  <si>
    <t>https://tailingsandminewaste.com/</t>
  </si>
  <si>
    <t>Various locations, North America</t>
  </si>
  <si>
    <t>Colorado State University, University of British Columbia and University of Alberta</t>
  </si>
  <si>
    <t>Tailings management · Mine waste · Geotechnical engineering · Mine closure &amp; reclamation · Tailings geochemistry · Environmental regulation</t>
  </si>
  <si>
    <t>Specialty &amp; Agro Chemicals America</t>
  </si>
  <si>
    <t>Networking forum and exhibition promoting chemical manufacturing, chemical technologies and related services with specific application to the agrochemical and specialty chemical markets. Features 250+ exhibitor displays and supplier showcases, restricted to companies with America-based manufacturing or significant domestic operations, plus market-trend presentations across both sectors.</t>
  </si>
  <si>
    <t>https://chemicalsamerica.com/</t>
  </si>
  <si>
    <t>Savannah, Georgia, USA</t>
  </si>
  <si>
    <t>Chemicals America, Inc.</t>
  </si>
  <si>
    <t>Agrochemicals · Specialty chemicals · Custom manufacturing · Toll processing · Supply chain</t>
  </si>
  <si>
    <t>American Chemical Society National Meeting</t>
  </si>
  <si>
    <t>One of the largest gatherings of the global chemistry community, held twice yearly in spring and autumn, with thousands of oral presentations spanning every chemistry specialty alongside poster sessions, an exposition hall and a career fair. The spring 2026 meeting drew over 12,500 chemistry professionals and marked the Society's 150th anniversary.</t>
  </si>
  <si>
    <t>https://www.acs.org/events/acs-meetings.html</t>
  </si>
  <si>
    <t>March and August</t>
  </si>
  <si>
    <t>Biannual</t>
  </si>
  <si>
    <t>American Chemical Society (ACS)</t>
  </si>
  <si>
    <t>Chemistry research · Materials · Catalysis · Analytical chemistry · Sustainability · Energy chemistry</t>
  </si>
  <si>
    <t>The SOCMA Show — Specialty &amp; Custom Chemicals Show</t>
  </si>
  <si>
    <t>Trade event for the specialty, custom, fine and industrial chemical markets, convening more than 1,250 specialty chemical leaders across 18+ industry segments. Attendees are decision-makers from purchasing, R&amp;D, engineering and operations seeking manufacturing partners, toll processing services and new chemistries.</t>
  </si>
  <si>
    <t>https://www.socmashow.com/</t>
  </si>
  <si>
    <t>Nashville, Tennessee, USA</t>
  </si>
  <si>
    <t>Society of Chemical Manufacturers &amp; Affiliates (SOCMA)</t>
  </si>
  <si>
    <t>Specialty chemicals · Custom &amp; toll manufacturing · Fine chemicals · Sourcing &amp; procurement · Process solutions</t>
  </si>
  <si>
    <t>ACS Green Chemistry &amp; Engineering Conference</t>
  </si>
  <si>
    <t>The principal conference on green and sustainable chemistry and engineering, reaching its 30th edition in 2026 under the theme of industry, innovation and infrastructure. Convened by the ACS Green Chemistry Institute to advance adoption of green chemistry principles across academia, industry and government.</t>
  </si>
  <si>
    <t>https://www.gcande.org/</t>
  </si>
  <si>
    <t>ACS Green Chemistry Institute</t>
  </si>
  <si>
    <t>Green chemistry · Sustainable process design · Solvent &amp; reagent substitution · Circular chemistry · Bio-based feedstocks</t>
  </si>
  <si>
    <t>CIEX North America — Chemical Innovation Exchange</t>
  </si>
  <si>
    <t>Senior-level innovation summit for R&amp;D, innovation and sustainability leaders across the consumer, industrial and specialty chemical sectors. Now in its 13th edition globally but only its third in North America, deliberately structured around facilitated partner matching rather than large-scale exhibition.</t>
  </si>
  <si>
    <t>https://ciexsummit.com/</t>
  </si>
  <si>
    <t>CIEX</t>
  </si>
  <si>
    <t>Chemical R&amp;D · Process innovation · Circular chemistry · Digital chemistry · Sustainability strategy</t>
  </si>
  <si>
    <t>AIChE Annual Meeting</t>
  </si>
  <si>
    <t>The premier educational forum for chemical engineers, convening academic and industry experts across process design, reaction engineering, separations, sustainability and process safety. Spans a full week across multiple venues, with a large student and early-career programme and travel stipends supporting under-represented participation.</t>
  </si>
  <si>
    <t>https://www.aiche.org/conferences/aiche-annual-meeting</t>
  </si>
  <si>
    <t>American Institute of Chemical Engineers (AIChE)</t>
  </si>
  <si>
    <t>Chemical engineering · Process systems · Separations · Catalysis &amp; reaction engineering · Process safety · Sustainability</t>
  </si>
  <si>
    <t>J.P. Morgan Healthcare Conference</t>
  </si>
  <si>
    <t>The largest healthcare investment symposium in the industry, running for more than four decades at the Westin St. Francis in San Francisco. Connects global industry leaders, fast-growth companies and the investment community; attendance is strictly by invitation through a J.P. Morgan representative, and the surrounding 'JPM Week' turns the city into the sector's annual deal-making hub.</t>
  </si>
  <si>
    <t>https://www.jpmorgan.com/about-us/events-conferences/health-care-conference</t>
  </si>
  <si>
    <t>J.P. Morgan</t>
  </si>
  <si>
    <t>Healthcare investment · Biotech &amp; pharma · Medtech · Digital health · Capital markets · Partnerships</t>
  </si>
  <si>
    <t>HIMSS Global Health Conference &amp; Exhibition</t>
  </si>
  <si>
    <t>The principal health information and technology conference, convening health system CIOs, clinical informaticians, digital health leaders and technology vendors. Programming spans clinical informatics, interoperability, cybersecurity, AI in care delivery and IT infrastructure investment; the 2027 edition moves to McCormick Place in Chicago.</t>
  </si>
  <si>
    <t>https://www.himss.org/</t>
  </si>
  <si>
    <t>Healthcare Information and Management Systems Society (HIMSS)</t>
  </si>
  <si>
    <t>Health informatics · Interoperability · Digital health · Clinical AI · Health IT infrastructure · Cybersecurity</t>
  </si>
  <si>
    <t>HLTH USA</t>
  </si>
  <si>
    <t>Healthcare's largest innovation event, launched in 2018 and now drawing roughly 12,250 attendees including more than 4,400 C-suite executives and 950 exhibitors. Built around curated matchmaking, with over 8,500 pre-scheduled one-to-one meetings, an AI Zone and a startup pitch tournament; less clinical conference than industry summit.</t>
  </si>
  <si>
    <t>https://hlth.com/events/usa/</t>
  </si>
  <si>
    <t>HLTH, Inc.</t>
  </si>
  <si>
    <t>Health innovation · AI &amp; emerging technology · Digital health · Pharma &amp; life sciences · Health policy · Investment</t>
  </si>
  <si>
    <t>ViVE</t>
  </si>
  <si>
    <t>Digital health conference produced by HLTH in partnership with CHIME, focused specifically on the digital transformation of health systems. The audience centres on health system CIOs, chief digital officers and CMIOs alongside the technology partners serving them, making it narrower and more operational than HLTH USA.</t>
  </si>
  <si>
    <t>https://hlth.com/events/vive/</t>
  </si>
  <si>
    <t>HLTH, Inc. and CHIME</t>
  </si>
  <si>
    <t>Digital health transformation · Health system IT · Clinical informatics · Care delivery technology · Health data</t>
  </si>
  <si>
    <t>ATA NEXUS Annual Conference</t>
  </si>
  <si>
    <t>Annual conference of the American Telemedicine Association, reaching its 30th edition in 2026. Convenes health systems, payers, technology innovators and clinician leaders around virtual care, remote monitoring, AI-enabled care models and telehealth policy, with more than 200 speakers and an implementation-focused format.</t>
  </si>
  <si>
    <t>https://www.americantelemed.org/</t>
  </si>
  <si>
    <t>American Telemedicine Association (ATA)</t>
  </si>
  <si>
    <t>Telehealth · Virtual care · Remote patient monitoring · AI-enabled care · Digital health policy</t>
  </si>
  <si>
    <t>ADLM Annual Meeting &amp; Clinical Lab Expo</t>
  </si>
  <si>
    <t>Laboratory medicine meeting formerly known as the AACC Annual Scientific Meeting, spanning clinical chemistry, molecular diagnostics, mass spectrometry and translational medicine. Offers more than 250 educational sessions alongside a Clinical Lab Expo with 750+ exhibitors and 200+ new product launches.</t>
  </si>
  <si>
    <t>https://meeting.myadlm.org/</t>
  </si>
  <si>
    <t>Association for Diagnostics &amp; Laboratory Medicine (ADLM)</t>
  </si>
  <si>
    <t>Clinical chemistry · Molecular diagnostics · Mass spectrometry · Laboratory medicine · Translational medicine</t>
  </si>
  <si>
    <t>BIO International Convention</t>
  </si>
  <si>
    <t>The largest and most comprehensive biotechnology event globally, representing the full biotech ecosystem from public pharmaceutical companies to startups, academia, non-profits and government agencies. Its BIO Partnering platform structures tens of thousands of pre-scheduled business development meetings across four days.</t>
  </si>
  <si>
    <t>https://convention.bio.org/</t>
  </si>
  <si>
    <t>Biotechnology Innovation Organization (BIO)</t>
  </si>
  <si>
    <t>Biotechnology · Drug development · Biomanufacturing · Agricultural biotech · Partnering &amp; licensing · Policy</t>
  </si>
  <si>
    <t>MEDevice Boston</t>
  </si>
  <si>
    <t>Medical device design and manufacturing event drawing more than 170 exhibitors to Boston, connecting engineers, manufacturers and decision-makers across the medtech supply chain. Focused on moving FDA-cleared device innovations from development into production, with participants including Boston Scientific and Johnson &amp; Johnson.</t>
  </si>
  <si>
    <t>https://www.medeviceboston.com/</t>
  </si>
  <si>
    <t>Boston, Massachusetts, USA</t>
  </si>
  <si>
    <t>Medical devices · Medtech manufacturing · Device design &amp; engineering · Regulatory pathways · Supply chain</t>
  </si>
  <si>
    <t>Forbes Healthcare Summit</t>
  </si>
  <si>
    <t>Invitation-oriented executive summit convening senior leaders across healthcare, medicine and science, curated by Forbes editorial staff. The format favours on-stage interviews and small-format discussion with health system CEOs, biotech founders and investors rather than exhibition or technical programming.</t>
  </si>
  <si>
    <t>https://www.forbes.com/connect/</t>
  </si>
  <si>
    <t>Forbes</t>
  </si>
  <si>
    <t>Healthcare leadership · Health innovation · Biotech investment · Health policy · Executive strategy</t>
  </si>
  <si>
    <t>NYC Health Innovation Week</t>
  </si>
  <si>
    <t>Community-driven week across New York City's health ecosystem, anchored by a summit hosted by HITLAB and surrounded by partner-run panels, workshops, meetups and roundtables. The 2026 edition was the third, with events spread across Midtown Manhattan and beyond.</t>
  </si>
  <si>
    <t>https://www.hitlab.org/</t>
  </si>
  <si>
    <t>HITLAB</t>
  </si>
  <si>
    <t>Health innovation · Digital health startups · Health technology · Life sciences · Ecosystem building</t>
  </si>
  <si>
    <t>NACHC Community Health Conference</t>
  </si>
  <si>
    <t>The principal annual gathering of the United States' community health centre network, the country's largest primary care system, currently serving roughly one in ten Americans. Draws over 2,300 health centre leaders and clinicians across 200+ sessions on policy, financing, workforce and clinical quality; rebranded from Community Health Institute &amp; EXPO in 2026.</t>
  </si>
  <si>
    <t>https://www.nachc.org/events/community-health-conference/</t>
  </si>
  <si>
    <t>National Association of Community Health Centers (NACHC)</t>
  </si>
  <si>
    <t>Community health centres · Primary care delivery · Health equity · Health policy &amp; financing · Workforce</t>
  </si>
  <si>
    <t>Bio-IT World Conference &amp; Expo</t>
  </si>
  <si>
    <t>Conference on the computational and data infrastructure underpinning life sciences research, covering AI in drug discovery, bioinformatics, data management and precision medicine. Draws research informatics leaders from pharmaceutical companies, biotechs and academic medical centres.</t>
  </si>
  <si>
    <t>https://www.bio-itworldexpo.com/</t>
  </si>
  <si>
    <t>Cambridge Healthtech Institute</t>
  </si>
  <si>
    <t>Bioinformatics · AI in drug discovery · Research data infrastructure · Precision medicine · Life sciences computing</t>
  </si>
  <si>
    <t>AFRICAN DIASPORA</t>
  </si>
  <si>
    <t>Unstoppable Africa (GABI)</t>
  </si>
  <si>
    <t>The most influential African business forum held outside the continent, co-hosted by the UN Secretary-General and the African Union Chair alongside UNGA. With 600+ CEOs, 6 Heads of State, and 4,000+ participants in 2024, it is the premier deal-making and partnership platform for Africa's economic transformation — covering energy, agribusiness, digital economy, and critical minerals.</t>
  </si>
  <si>
    <t>https://africa.unglobalcompact.org/unstoppable-africa-2026-save-the-date</t>
  </si>
  <si>
    <t>Global Africa Business Initiative (GABI) / UN Global Compact</t>
  </si>
  <si>
    <t>Africa's economic transformation · Energy · Agribusiness · Digital economy · Critical minerals · Trade · Investment</t>
  </si>
  <si>
    <t>Africa Business Conference — Harvard Business School</t>
  </si>
  <si>
    <t>Student-led Harvard Business School conference convening African business leaders, entrepreneurs, investors, policymakers, and emerging professionals to examine the forces shaping the continent's economic future. The official programme spans technology, agribusiness, financial services, private equity, energy, and healthcare.</t>
  </si>
  <si>
    <t>https://www.africa-hbsclub.com/conference/overview</t>
  </si>
  <si>
    <t>Africa Business Club at Harvard Business School</t>
  </si>
  <si>
    <t>African business · Entrepreneurship · Technology · Agribusiness · Energy · Healthcare · Investment</t>
  </si>
  <si>
    <t>MIT Sloan Africa Innovate Conference</t>
  </si>
  <si>
    <t>Flagship student-led conference of the MIT Sloan Africa Business Club, bringing together entrepreneurs, innovators, investors, policymakers, academics, and industry leaders around African innovation and business development. The 2026 programme examined how policy, capital, technology, and systems thinking can support shared prosperity.</t>
  </si>
  <si>
    <t>https://mit-africa.com/africa-innovate-conference/</t>
  </si>
  <si>
    <t>MIT Sloan Africa Business Club at MIT Sloan</t>
  </si>
  <si>
    <t>African innovation · Technology · Policy · Capital · Systems thinking · Inclusive growth</t>
  </si>
  <si>
    <t>AFROTECH Conference</t>
  </si>
  <si>
    <t>Large technology conference designed for Black professionals, engineers, founders, executives, students, and companies working across the technology sector. Its programme combines technical and business sessions, career development, entrepreneurship, product showcases, and discussions on emerging technologies.</t>
  </si>
  <si>
    <t>https://experience.afrotech.com/</t>
  </si>
  <si>
    <t>AFROTECH / Blavity Inc.</t>
  </si>
  <si>
    <t>Black technology professionals · Artificial intelligence · Engineering · Entrepreneurship · Careers · Innovation</t>
  </si>
  <si>
    <t>African Diaspora Investment Symposium</t>
  </si>
  <si>
    <t>Annual African Diaspora Network symposium convening innovators, investors, entrepreneurs, scientists, policymakers, educators, and community leaders around investment and inclusive growth in Africa. The 2026 programme included focused discussions on healthcare and bioscience, finance and investment, and education and talent.</t>
  </si>
  <si>
    <t>https://africandiasporanetwork.org/programs/adis26/</t>
  </si>
  <si>
    <t>Santa Clara, California, USA</t>
  </si>
  <si>
    <t>African Diaspora Network</t>
  </si>
  <si>
    <t>Diaspora investment · Innovation · Healthcare and bioscience · Education and talent · Inclusive growth</t>
  </si>
  <si>
    <t>Africa-America Institute Annual Awards Gala</t>
  </si>
  <si>
    <t>Long-running New York gala recognizing the achievements of African and global African diaspora leaders across public service, business, education, culture, and philanthropy. The event brings together senior figures from Africa, the United States, and the wider diaspora during a prominent period in New York's international calendar.</t>
  </si>
  <si>
    <t>https://www.aaionline.org/awards-gala</t>
  </si>
  <si>
    <t>Africa-America Institute</t>
  </si>
  <si>
    <t>African leadership · Diaspora achievement · Education · Philanthropy · U.S.-Africa relations</t>
  </si>
  <si>
    <t>CROSS-THEMATIC EVENTS</t>
  </si>
  <si>
    <t>Deep Tech Week NYC</t>
  </si>
  <si>
    <t>A rapidly growing, decentralized conference week for physical and frontier technologies — from quantum computing and biotech to robotics, energy, and advanced manufacturing. The 2025 NYC edition drew 5,600+ attendees across 45 events, making it the largest grassroots deep tech gathering in the Northeast and a key window into emerging innovation.</t>
  </si>
  <si>
    <t>deep-tech-week.com</t>
  </si>
  <si>
    <t>New York City, NY</t>
  </si>
  <si>
    <t>Late March–Early April</t>
  </si>
  <si>
    <t>Hyperstition Incorporated / Andrew Côté</t>
  </si>
  <si>
    <t>Deep tech commercialization · Quantum computing · Energy innovation · Biotech · Robotics · Advanced manufacturing</t>
  </si>
  <si>
    <t>Science Summit at UNGA</t>
  </si>
  <si>
    <t>A three-week multi-disciplinary science congress running alongside the UN General Assembly, convening Nobel laureates, ministers, and innovators from 100+ countries to translate research into SDG policy. In 2025, it spotlighted AI in health, quantum science, and climate modeling as priorities for the decade ahead.</t>
  </si>
  <si>
    <t>sciencesummitnyc.org</t>
  </si>
  <si>
    <t>International Science Council (ISC)</t>
  </si>
  <si>
    <t>Science-policy interface · AI in health &amp; governance · Climate science · Quantum technology · Biotech · SDGs</t>
  </si>
  <si>
    <t xml:space="preserve">UM6P GLOBAL HUB US — SCORING GUIDE </t>
  </si>
  <si>
    <t>SCORING CRITERIA</t>
  </si>
  <si>
    <t>Criterion</t>
  </si>
  <si>
    <t>Score 3 — HIGH</t>
  </si>
  <si>
    <t>Score 2 — MEDIUM</t>
  </si>
  <si>
    <t>Score 1 — LOW</t>
  </si>
  <si>
    <t>Weight</t>
  </si>
  <si>
    <t>Strategic Rationale</t>
  </si>
  <si>
    <t>Long-established event with 10+ years of history or editions</t>
  </si>
  <si>
    <t>Established event with 3–9 years of history or editions</t>
  </si>
  <si>
    <t>New or emerging event with less than 3 years of history or editions</t>
  </si>
  <si>
    <t>Equal</t>
  </si>
  <si>
    <t>Indicates credibility and long-term relevance</t>
  </si>
  <si>
    <t>Internationally recognized event with strong reputation and significant external visibility</t>
  </si>
  <si>
    <t>Established event with recognition at a national level or within a specific sector/community</t>
  </si>
  <si>
    <t>Emerging, local, or niche event with developing visibility and still limited recognition</t>
  </si>
  <si>
    <t>Determines visibility and positioning opportunities</t>
  </si>
  <si>
    <t>Large-scale event with more than 1,000 participants</t>
  </si>
  <si>
    <t>Medium-scale event with 300–1,000 participants</t>
  </si>
  <si>
    <t>Small-scale event with fewer than 300 participants</t>
  </si>
  <si>
    <t>Measures networking potential and ecosystem reach</t>
  </si>
  <si>
    <t>Senior leaders and decision-makers (CEOs, founders, ministers, presidents, executives, heads/directors of major institutions)</t>
  </si>
  <si>
    <t>Established professionals with demonstrated expertise (professors, researchers, entrepreneurs, managers, specialists)</t>
  </si>
  <si>
    <t>General speakers with limited professional experience, early-career profiles, students, or community contributors</t>
  </si>
  <si>
    <t>High-level speakers increase strategic value and credibility</t>
  </si>
  <si>
    <t>Globally recognized organizations (international organizations, leading universities, major institutions, global corporations, well-established foundations)</t>
  </si>
  <si>
    <t>Established organizations with sector or regional recognition (professional associations, industry networks, research centers, companies)</t>
  </si>
  <si>
    <t>Emerging, independent, or small-scale organizers with limited public recognition or institutional presence</t>
  </si>
  <si>
    <t>Strong organizers attract influential stakeholders</t>
  </si>
  <si>
    <t>Global event attracting an international audience and organizations from multiple countries</t>
  </si>
  <si>
    <t>National event with some international presence or regional influence</t>
  </si>
  <si>
    <t>Local or regional event mainly focused on one city/area</t>
  </si>
  <si>
    <t>Helps prioritize global vs. local opportunities</t>
  </si>
  <si>
    <t>TIER CLASSIFICATION</t>
  </si>
  <si>
    <t>Tier</t>
  </si>
  <si>
    <t>Score Range</t>
  </si>
  <si>
    <t>Definition</t>
  </si>
  <si>
    <t>15–18</t>
  </si>
  <si>
    <t>Highly established events with strong recognition, broad visibility, credible organizers, high-level speakers, and significant external reach</t>
  </si>
  <si>
    <t>10–14</t>
  </si>
  <si>
    <t>Recognized and credible events with an established presence, relevant ecosystem visibility, and sector or national influence</t>
  </si>
  <si>
    <t>6–9</t>
  </si>
  <si>
    <t>Smaller, newer, or specialized events with developing recognition, targeted reach, and future growth potential</t>
  </si>
  <si>
    <t>STRATEGIC POSITIONING</t>
  </si>
  <si>
    <t>Strategic Positioning Option</t>
  </si>
  <si>
    <t>Meaning</t>
  </si>
  <si>
    <t>High Influence / High Impact</t>
  </si>
  <si>
    <t>Major event with strong external visibility, strong alignment with UM6P priorities, and high strategic value</t>
  </si>
  <si>
    <t>High Influence / Low Impact</t>
  </si>
  <si>
    <t>Highly recognized event with strong visibility but limited direct alignment with UM6P priorities</t>
  </si>
  <si>
    <t>Low Influence / High Impact</t>
  </si>
  <si>
    <t>Smaller or niche event with limited visibility but strong relevance to UM6P objectives</t>
  </si>
  <si>
    <t>Low Influence / Low Impact</t>
  </si>
  <si>
    <t>Event with limited external influence and limited strategic relevance at this 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</si>
</sst>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charset val="1"/>
    </font>
    <font>
      <b/>
      <sz val="14"/>
      <color rgb="FFFFFFFF"/>
      <name val="Arial"/>
      <family val="2"/>
      <charset val="1"/>
    </font>
    <font>
      <i/>
      <sz val="10"/>
      <color rgb="FFC9972C"/>
      <name val="Arial"/>
      <family val="2"/>
      <charset val="1"/>
    </font>
    <font>
      <b/>
      <sz val="10"/>
      <color rgb="FFFFFFFF"/>
      <name val="Arial"/>
      <family val="2"/>
      <charset val="1"/>
    </font>
    <font>
      <b/>
      <sz val="9"/>
      <color rgb="FFFFFFFF"/>
      <name val="Arial"/>
      <family val="2"/>
      <charset val="1"/>
    </font>
    <font>
      <b/>
      <sz val="11"/>
      <color rgb="FFFFFFFF"/>
      <name val="Arial"/>
      <family val="2"/>
      <charset val="1"/>
    </font>
    <font>
      <b/>
      <sz val="10"/>
      <color rgb="FF1B3A6B"/>
      <name val="Arial"/>
      <family val="2"/>
      <charset val="1"/>
    </font>
    <font>
      <b/>
      <sz val="9"/>
      <color rgb="FF3949AB"/>
      <name val="Arial"/>
      <family val="2"/>
      <charset val="1"/>
    </font>
    <font>
      <sz val="9"/>
      <color rgb="FF3A3A3A"/>
      <name val="Arial"/>
      <family val="2"/>
      <charset val="1"/>
    </font>
    <font>
      <i/>
      <sz val="9"/>
      <color rgb="FFFFFFFF"/>
      <name val="Arial"/>
      <family val="2"/>
      <charset val="1"/>
    </font>
    <font>
      <b/>
      <sz val="8"/>
      <color rgb="FFFFFFFF"/>
      <name val="Arial"/>
      <family val="2"/>
      <charset val="1"/>
    </font>
    <font>
      <b/>
      <sz val="9"/>
      <color rgb="FF1B3A5C"/>
      <name val="Arial"/>
      <family val="2"/>
      <charset val="1"/>
    </font>
    <font>
      <sz val="8"/>
      <color rgb="FF1A1A1A"/>
      <name val="Arial"/>
      <family val="2"/>
      <charset val="1"/>
    </font>
    <font>
      <u/>
      <sz val="11"/>
      <color theme="10"/>
      <name val="Calibri"/>
      <family val="2"/>
      <charset val="1"/>
    </font>
    <font>
      <b/>
      <sz val="8"/>
      <color rgb="FF375623"/>
      <name val="Arial"/>
      <family val="2"/>
      <charset val="1"/>
    </font>
    <font>
      <sz val="8"/>
      <color rgb="FF9C0006"/>
      <name val="Arial"/>
      <family val="2"/>
      <charset val="1"/>
    </font>
    <font>
      <b/>
      <sz val="9"/>
      <color rgb="FF1A1A1A"/>
      <name val="Arial"/>
      <family val="2"/>
      <charset val="1"/>
    </font>
    <font>
      <b/>
      <sz val="11"/>
      <color rgb="FF0D1B2A"/>
      <name val="Arial"/>
      <family val="2"/>
      <charset val="1"/>
    </font>
    <font>
      <b/>
      <sz val="8"/>
      <name val="Arial"/>
      <family val="2"/>
      <charset val="1"/>
    </font>
    <font>
      <u/>
      <sz val="8"/>
      <color rgb="FF0563C1"/>
      <name val="Arial"/>
      <family val="2"/>
      <charset val="1"/>
    </font>
    <font>
      <b/>
      <sz val="13"/>
      <color rgb="FFC8A84B"/>
      <name val="Arial"/>
      <family val="2"/>
      <charset val="1"/>
    </font>
    <font>
      <sz val="9"/>
      <name val="Arial"/>
      <family val="2"/>
      <charset val="1"/>
    </font>
    <font>
      <sz val="8"/>
      <name val="Arial"/>
      <family val="2"/>
      <charset val="1"/>
    </font>
  </fonts>
  <fills count="27">
    <fill>
      <patternFill patternType="none"/>
    </fill>
    <fill>
      <patternFill patternType="gray125"/>
    </fill>
    <fill>
      <patternFill patternType="solid">
        <fgColor rgb="FF1B3A6B"/>
        <bgColor rgb="FF1F3864"/>
      </patternFill>
    </fill>
    <fill>
      <patternFill patternType="solid">
        <fgColor rgb="FF2E4B8C"/>
        <bgColor rgb="FF3949AB"/>
      </patternFill>
    </fill>
    <fill>
      <patternFill patternType="solid">
        <fgColor rgb="FF0E7C86"/>
        <bgColor rgb="FF1E7A8C"/>
      </patternFill>
    </fill>
    <fill>
      <patternFill patternType="solid">
        <fgColor rgb="FFD6E4F0"/>
        <bgColor rgb="FFD6E8F8"/>
      </patternFill>
    </fill>
    <fill>
      <patternFill patternType="solid">
        <fgColor rgb="FFEEF2FF"/>
        <bgColor rgb="FFF4F6F9"/>
      </patternFill>
    </fill>
    <fill>
      <patternFill patternType="solid">
        <fgColor rgb="FFFFFFFF"/>
        <bgColor rgb="FFF7F9FC"/>
      </patternFill>
    </fill>
    <fill>
      <patternFill patternType="solid">
        <fgColor rgb="FFF7F9FC"/>
        <bgColor rgb="FFF4F6F9"/>
      </patternFill>
    </fill>
    <fill>
      <patternFill patternType="solid">
        <fgColor theme="8" tint="0.79979857783745845"/>
        <bgColor rgb="FFD6E8F8"/>
      </patternFill>
    </fill>
    <fill>
      <patternFill patternType="solid">
        <fgColor rgb="FF17375E"/>
        <bgColor rgb="FF1B3A5C"/>
      </patternFill>
    </fill>
    <fill>
      <patternFill patternType="solid">
        <fgColor rgb="FF1F3864"/>
        <bgColor rgb="FF1B3A6B"/>
      </patternFill>
    </fill>
    <fill>
      <patternFill patternType="solid">
        <fgColor rgb="FF2E7D8A"/>
        <bgColor rgb="FF1E7A8C"/>
      </patternFill>
    </fill>
    <fill>
      <patternFill patternType="solid">
        <fgColor rgb="FF375623"/>
        <bgColor rgb="FF3A3A3A"/>
      </patternFill>
    </fill>
    <fill>
      <patternFill patternType="solid">
        <fgColor rgb="FF548235"/>
        <bgColor rgb="FF595959"/>
      </patternFill>
    </fill>
    <fill>
      <patternFill patternType="solid">
        <fgColor rgb="FFE2F0D9"/>
        <bgColor rgb="FFD6F0E0"/>
      </patternFill>
    </fill>
    <fill>
      <patternFill patternType="solid">
        <fgColor rgb="FFFCE4EC"/>
        <bgColor rgb="FFFFF0D0"/>
      </patternFill>
    </fill>
    <fill>
      <patternFill patternType="solid">
        <fgColor rgb="FFD6F0E0"/>
        <bgColor rgb="FFE2F0D9"/>
      </patternFill>
    </fill>
    <fill>
      <patternFill patternType="solid">
        <fgColor theme="8"/>
        <bgColor rgb="FF2E7D8A"/>
      </patternFill>
    </fill>
    <fill>
      <patternFill patternType="solid">
        <fgColor theme="9"/>
        <bgColor rgb="FFC9972C"/>
      </patternFill>
    </fill>
    <fill>
      <patternFill patternType="solid">
        <fgColor theme="1" tint="0.3498947111423078"/>
        <bgColor rgb="FF375623"/>
      </patternFill>
    </fill>
    <fill>
      <patternFill patternType="solid">
        <fgColor rgb="FF0D1B2A"/>
        <bgColor rgb="FF1A1A1A"/>
      </patternFill>
    </fill>
    <fill>
      <patternFill patternType="solid">
        <fgColor rgb="FF1B3A5C"/>
        <bgColor rgb="FF17375E"/>
      </patternFill>
    </fill>
    <fill>
      <patternFill patternType="solid">
        <fgColor rgb="FFF4F6F9"/>
        <bgColor rgb="FFF7F9FC"/>
      </patternFill>
    </fill>
    <fill>
      <patternFill patternType="solid">
        <fgColor rgb="FF1E7A8C"/>
        <bgColor rgb="FF2E7D8A"/>
      </patternFill>
    </fill>
    <fill>
      <patternFill patternType="solid">
        <fgColor rgb="FFFFF0D0"/>
        <bgColor rgb="FFFCE4EC"/>
      </patternFill>
    </fill>
    <fill>
      <patternFill patternType="solid">
        <fgColor rgb="FFD6E8F8"/>
        <bgColor rgb="FFD6E4F0"/>
      </patternFill>
    </fill>
  </fills>
  <borders count="15">
    <border>
      <left/>
      <right/>
      <top/>
      <bottom/>
      <diagonal/>
    </border>
    <border>
      <left style="thin">
        <color theme="1"/>
      </left>
      <right style="thin">
        <color theme="1"/>
      </right>
      <top style="thin">
        <color theme="1"/>
      </top>
      <bottom style="thin">
        <color theme="1"/>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theme="1"/>
      </left>
      <right/>
      <top style="thin">
        <color theme="1"/>
      </top>
      <bottom/>
      <diagonal/>
    </border>
    <border>
      <left/>
      <right/>
      <top style="thin">
        <color theme="1"/>
      </top>
      <bottom/>
      <diagonal/>
    </border>
    <border>
      <left/>
      <right style="thin">
        <color rgb="FFE0E0E0"/>
      </right>
      <top style="thin">
        <color rgb="FFE0E0E0"/>
      </top>
      <bottom style="thin">
        <color rgb="FFE0E0E0"/>
      </bottom>
      <diagonal/>
    </border>
    <border>
      <left style="thin">
        <color rgb="FFE0E0E0"/>
      </left>
      <right style="thin">
        <color rgb="FFE0E0E0"/>
      </right>
      <top style="thin">
        <color rgb="FFE0E0E0"/>
      </top>
      <bottom style="thin">
        <color rgb="FFE0E0E0"/>
      </bottom>
      <diagonal/>
    </border>
    <border>
      <left/>
      <right style="thin">
        <color rgb="FFE0E0E0"/>
      </right>
      <top style="thin">
        <color rgb="FFE0E0E0"/>
      </top>
      <bottom style="thin">
        <color theme="1"/>
      </bottom>
      <diagonal/>
    </border>
    <border>
      <left style="thin">
        <color rgb="FFE0E0E0"/>
      </left>
      <right style="thin">
        <color rgb="FFE0E0E0"/>
      </right>
      <top style="thin">
        <color rgb="FFE0E0E0"/>
      </top>
      <bottom style="thin">
        <color theme="1"/>
      </bottom>
      <diagonal/>
    </border>
    <border>
      <left/>
      <right/>
      <top/>
      <bottom style="thin">
        <color theme="1"/>
      </bottom>
      <diagonal/>
    </border>
    <border>
      <left style="thin">
        <color rgb="FFFFFFFF"/>
      </left>
      <right style="thin">
        <color rgb="FFFFFFFF"/>
      </right>
      <top style="thin">
        <color rgb="FFFFFFFF"/>
      </top>
      <bottom style="thin">
        <color rgb="FFFFFFFF"/>
      </bottom>
      <diagonal/>
    </border>
    <border>
      <left style="thin">
        <color rgb="FFB4BCC4"/>
      </left>
      <right style="thin">
        <color rgb="FFB4BCC4"/>
      </right>
      <top style="thin">
        <color rgb="FFB4BCC4"/>
      </top>
      <bottom style="thin">
        <color rgb="FFB4BCC4"/>
      </bottom>
      <diagonal/>
    </border>
    <border>
      <left style="thin">
        <color rgb="FFFFFFFF"/>
      </left>
      <right style="thin">
        <color rgb="FFFFFFFF"/>
      </right>
      <top style="thin">
        <color rgb="FFFFFFFF"/>
      </top>
      <bottom style="thin">
        <color rgb="FFB4BCC4"/>
      </bottom>
      <diagonal/>
    </border>
    <border>
      <left style="thin">
        <color rgb="FFDDDDDD"/>
      </left>
      <right style="thin">
        <color rgb="FFDDDDDD"/>
      </right>
      <top style="thin">
        <color rgb="FFDDDDDD"/>
      </top>
      <bottom style="thin">
        <color rgb="FFDDDDDD"/>
      </bottom>
      <diagonal/>
    </border>
  </borders>
  <cellStyleXfs count="2">
    <xf numFmtId="0" fontId="0" fillId="0" borderId="0"/>
    <xf numFmtId="0" fontId="13" fillId="0" borderId="0"/>
  </cellStyleXfs>
  <cellXfs count="61">
    <xf numFmtId="0" fontId="0" fillId="0" borderId="0" xfId="0"/>
    <xf numFmtId="0" fontId="20" fillId="21" borderId="0" xfId="0" applyFont="1" applyFill="1" applyAlignment="1">
      <alignment horizontal="center" vertical="top" wrapText="1"/>
    </xf>
    <xf numFmtId="0" fontId="3" fillId="19" borderId="11" xfId="0" applyFont="1" applyFill="1" applyBorder="1" applyAlignment="1">
      <alignment horizontal="left" vertical="center"/>
    </xf>
    <xf numFmtId="0" fontId="3" fillId="18" borderId="11" xfId="0" applyFont="1" applyFill="1" applyBorder="1" applyAlignment="1">
      <alignment horizontal="left" vertical="center"/>
    </xf>
    <xf numFmtId="0" fontId="3" fillId="20" borderId="13" xfId="0" applyFont="1" applyFill="1" applyBorder="1" applyAlignment="1">
      <alignment horizontal="left" vertical="center"/>
    </xf>
    <xf numFmtId="0" fontId="5" fillId="2" borderId="4" xfId="0" applyFont="1" applyFill="1" applyBorder="1" applyAlignment="1">
      <alignment horizontal="left" vertical="center"/>
    </xf>
    <xf numFmtId="0" fontId="3" fillId="2" borderId="0" xfId="0" applyFont="1" applyFill="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4" fillId="13" borderId="11" xfId="0" applyFont="1" applyFill="1" applyBorder="1" applyAlignment="1">
      <alignment horizontal="center" vertical="center"/>
    </xf>
    <xf numFmtId="0" fontId="4" fillId="12" borderId="11" xfId="0" applyFont="1" applyFill="1" applyBorder="1" applyAlignment="1">
      <alignment horizontal="center" vertical="center"/>
    </xf>
    <xf numFmtId="0" fontId="4" fillId="11" borderId="11" xfId="0" applyFont="1" applyFill="1" applyBorder="1" applyAlignment="1">
      <alignment horizontal="center" vertical="center"/>
    </xf>
    <xf numFmtId="0" fontId="9" fillId="10" borderId="0" xfId="0" applyFont="1" applyFill="1" applyAlignment="1">
      <alignment horizontal="center" vertical="center"/>
    </xf>
    <xf numFmtId="0" fontId="1" fillId="10" borderId="0" xfId="0" applyFont="1" applyFill="1" applyAlignment="1">
      <alignment horizontal="center" vertical="center"/>
    </xf>
    <xf numFmtId="0" fontId="0" fillId="0" borderId="1" xfId="0" applyBorder="1"/>
    <xf numFmtId="0" fontId="4" fillId="2"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0" fillId="0" borderId="5" xfId="0" applyBorder="1"/>
    <xf numFmtId="0" fontId="6" fillId="5" borderId="1" xfId="0" applyFont="1" applyFill="1" applyBorder="1" applyAlignment="1">
      <alignment horizontal="left" vertical="top" wrapText="1"/>
    </xf>
    <xf numFmtId="0" fontId="7" fillId="6" borderId="6" xfId="0" applyFont="1" applyFill="1" applyBorder="1" applyAlignment="1">
      <alignment horizontal="center" vertical="top" wrapText="1"/>
    </xf>
    <xf numFmtId="0" fontId="8" fillId="7" borderId="7" xfId="0" applyFont="1" applyFill="1" applyBorder="1" applyAlignment="1">
      <alignment horizontal="left" vertical="top" wrapText="1"/>
    </xf>
    <xf numFmtId="0" fontId="8" fillId="8" borderId="7" xfId="0" applyFont="1" applyFill="1" applyBorder="1" applyAlignment="1">
      <alignment horizontal="left" vertical="top" wrapText="1"/>
    </xf>
    <xf numFmtId="0" fontId="7" fillId="9" borderId="6" xfId="0" applyFont="1" applyFill="1" applyBorder="1" applyAlignment="1">
      <alignment horizontal="center" vertical="top" wrapText="1"/>
    </xf>
    <xf numFmtId="0" fontId="7" fillId="9" borderId="8" xfId="0" applyFont="1" applyFill="1" applyBorder="1" applyAlignment="1">
      <alignment horizontal="center" vertical="top" wrapText="1"/>
    </xf>
    <xf numFmtId="0" fontId="8" fillId="8" borderId="9" xfId="0" applyFont="1" applyFill="1" applyBorder="1" applyAlignment="1">
      <alignment horizontal="left" vertical="top" wrapText="1"/>
    </xf>
    <xf numFmtId="0" fontId="0" fillId="0" borderId="10" xfId="0" applyBorder="1"/>
    <xf numFmtId="0" fontId="10" fillId="11" borderId="11" xfId="0" applyFont="1" applyFill="1" applyBorder="1" applyAlignment="1">
      <alignment horizontal="center" vertical="center" wrapText="1"/>
    </xf>
    <xf numFmtId="0" fontId="10" fillId="12" borderId="11" xfId="0" applyFont="1" applyFill="1" applyBorder="1" applyAlignment="1">
      <alignment horizontal="center" vertical="center" wrapText="1"/>
    </xf>
    <xf numFmtId="0" fontId="10" fillId="14" borderId="11" xfId="0" applyFont="1" applyFill="1" applyBorder="1" applyAlignment="1">
      <alignment horizontal="center" vertical="center" wrapText="1"/>
    </xf>
    <xf numFmtId="0" fontId="10" fillId="13" borderId="11" xfId="0" applyFont="1" applyFill="1" applyBorder="1" applyAlignment="1">
      <alignment horizontal="center" vertical="center" wrapText="1"/>
    </xf>
    <xf numFmtId="0" fontId="11" fillId="0" borderId="12" xfId="0" applyFont="1" applyBorder="1" applyAlignment="1">
      <alignment horizontal="left" vertical="top" wrapText="1"/>
    </xf>
    <xf numFmtId="0" fontId="12" fillId="0" borderId="12" xfId="0" applyFont="1" applyBorder="1" applyAlignment="1">
      <alignment horizontal="left" vertical="top" wrapText="1"/>
    </xf>
    <xf numFmtId="0" fontId="13" fillId="0" borderId="12" xfId="1" applyBorder="1" applyAlignment="1">
      <alignment horizontal="left" vertical="top" wrapText="1"/>
    </xf>
    <xf numFmtId="0" fontId="14" fillId="15" borderId="12" xfId="0" applyFont="1" applyFill="1" applyBorder="1" applyAlignment="1">
      <alignment horizontal="center" vertical="center" wrapText="1"/>
    </xf>
    <xf numFmtId="0" fontId="15" fillId="16" borderId="12" xfId="0" applyFont="1" applyFill="1" applyBorder="1" applyAlignment="1">
      <alignment horizontal="center" vertical="center" wrapText="1"/>
    </xf>
    <xf numFmtId="0" fontId="16" fillId="0" borderId="12" xfId="0" applyFont="1" applyBorder="1" applyAlignment="1">
      <alignment horizontal="center" vertical="center" wrapText="1"/>
    </xf>
    <xf numFmtId="0" fontId="17" fillId="17" borderId="12" xfId="0" applyFont="1" applyFill="1" applyBorder="1" applyAlignment="1">
      <alignment horizontal="center" vertical="center" wrapText="1"/>
    </xf>
    <xf numFmtId="0" fontId="18" fillId="0" borderId="12" xfId="0" applyFont="1" applyBorder="1" applyAlignment="1">
      <alignment horizontal="left" vertical="top" wrapText="1"/>
    </xf>
    <xf numFmtId="0" fontId="0" fillId="18" borderId="0" xfId="0" applyFill="1"/>
    <xf numFmtId="0" fontId="19" fillId="0" borderId="12" xfId="0" applyFont="1" applyBorder="1" applyAlignment="1">
      <alignment horizontal="left" vertical="top" wrapText="1"/>
    </xf>
    <xf numFmtId="0" fontId="0" fillId="19" borderId="0" xfId="0" applyFill="1"/>
    <xf numFmtId="0" fontId="10" fillId="22" borderId="14" xfId="0" applyFont="1" applyFill="1" applyBorder="1" applyAlignment="1">
      <alignment horizontal="center" vertical="top" wrapText="1"/>
    </xf>
    <xf numFmtId="0" fontId="21" fillId="7" borderId="14" xfId="0" applyFont="1" applyFill="1" applyBorder="1" applyAlignment="1">
      <alignment horizontal="left" vertical="top" wrapText="1"/>
    </xf>
    <xf numFmtId="0" fontId="21" fillId="23" borderId="14" xfId="0" applyFont="1" applyFill="1" applyBorder="1" applyAlignment="1">
      <alignment horizontal="left" vertical="top" wrapText="1"/>
    </xf>
    <xf numFmtId="0" fontId="10" fillId="24" borderId="14" xfId="0" applyFont="1" applyFill="1" applyBorder="1" applyAlignment="1">
      <alignment horizontal="center" vertical="top" wrapText="1"/>
    </xf>
    <xf numFmtId="0" fontId="10" fillId="24" borderId="14" xfId="0" applyFont="1" applyFill="1" applyBorder="1" applyAlignment="1">
      <alignment horizontal="center" vertical="center" wrapText="1"/>
    </xf>
    <xf numFmtId="0" fontId="21" fillId="17" borderId="14" xfId="0" applyFont="1" applyFill="1" applyBorder="1" applyAlignment="1">
      <alignment horizontal="left" vertical="top" wrapText="1"/>
    </xf>
    <xf numFmtId="0" fontId="22" fillId="17" borderId="14" xfId="0" applyFont="1" applyFill="1" applyBorder="1" applyAlignment="1">
      <alignment horizontal="left" vertical="center" wrapText="1" indent="1"/>
    </xf>
    <xf numFmtId="0" fontId="21" fillId="25" borderId="14" xfId="0" applyFont="1" applyFill="1" applyBorder="1" applyAlignment="1">
      <alignment horizontal="left" vertical="top" wrapText="1"/>
    </xf>
    <xf numFmtId="0" fontId="22" fillId="25" borderId="14" xfId="0" applyFont="1" applyFill="1" applyBorder="1" applyAlignment="1">
      <alignment horizontal="left" vertical="center" wrapText="1" indent="1"/>
    </xf>
    <xf numFmtId="0" fontId="21" fillId="26" borderId="14" xfId="0" applyFont="1" applyFill="1" applyBorder="1" applyAlignment="1">
      <alignment horizontal="left" vertical="top" wrapText="1"/>
    </xf>
    <xf numFmtId="0" fontId="22" fillId="26" borderId="14" xfId="0" applyFont="1" applyFill="1" applyBorder="1" applyAlignment="1">
      <alignment horizontal="left" vertical="center" wrapText="1" indent="1"/>
    </xf>
    <xf numFmtId="0" fontId="10" fillId="22" borderId="0" xfId="0" applyFont="1" applyFill="1" applyAlignment="1">
      <alignment horizontal="center" vertical="top" wrapText="1"/>
    </xf>
    <xf numFmtId="0" fontId="21" fillId="0" borderId="0" xfId="0" applyFont="1" applyAlignment="1">
      <alignment horizontal="left" vertical="top" wrapText="1"/>
    </xf>
    <xf numFmtId="0" fontId="3" fillId="21" borderId="0" xfId="0" applyFont="1" applyFill="1" applyAlignment="1">
      <alignment horizontal="left" vertical="top" wrapText="1" indent="1"/>
    </xf>
    <xf numFmtId="0" fontId="3" fillId="22" borderId="0" xfId="0" applyFont="1" applyFill="1" applyAlignment="1">
      <alignment horizontal="left" vertical="top" wrapText="1" indent="1"/>
    </xf>
    <xf numFmtId="0" fontId="3" fillId="22" borderId="0" xfId="0" applyFont="1" applyFill="1" applyAlignment="1">
      <alignment horizontal="center" vertical="top" wrapText="1"/>
    </xf>
    <xf numFmtId="0" fontId="10" fillId="22" borderId="0" xfId="0" applyFont="1" applyFill="1" applyAlignment="1">
      <alignment horizontal="center" vertical="top" wrapText="1"/>
    </xf>
    <xf numFmtId="0" fontId="21"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4F6F9"/>
      <rgbColor rgb="FFFF00FF"/>
      <rgbColor rgb="FF00FFFF"/>
      <rgbColor rgb="FF9C0006"/>
      <rgbColor rgb="FF375623"/>
      <rgbColor rgb="FF1F3864"/>
      <rgbColor rgb="FF548235"/>
      <rgbColor rgb="FF800080"/>
      <rgbColor rgb="FF0E7C86"/>
      <rgbColor rgb="FFB4BCC4"/>
      <rgbColor rgb="FF808080"/>
      <rgbColor rgb="FF9999FF"/>
      <rgbColor rgb="FF993366"/>
      <rgbColor rgb="FFFFF0D0"/>
      <rgbColor rgb="FFDBEEF4"/>
      <rgbColor rgb="FF1B3A5C"/>
      <rgbColor rgb="FFC9972C"/>
      <rgbColor rgb="FF0563C1"/>
      <rgbColor rgb="FFDDDDDD"/>
      <rgbColor rgb="FF1B3A6B"/>
      <rgbColor rgb="FFFF00FF"/>
      <rgbColor rgb="FFF7F9FC"/>
      <rgbColor rgb="FF00FFFF"/>
      <rgbColor rgb="FF800080"/>
      <rgbColor rgb="FF800000"/>
      <rgbColor rgb="FF1E7A8C"/>
      <rgbColor rgb="FF0000FF"/>
      <rgbColor rgb="FF00CCFF"/>
      <rgbColor rgb="FFD6E8F8"/>
      <rgbColor rgb="FFD6F0E0"/>
      <rgbColor rgb="FFE2F0D9"/>
      <rgbColor rgb="FFD6E4F0"/>
      <rgbColor rgb="FFFCE4EC"/>
      <rgbColor rgb="FFEEF2FF"/>
      <rgbColor rgb="FFE0E0E0"/>
      <rgbColor rgb="FF2E4B8C"/>
      <rgbColor rgb="FF4BACC6"/>
      <rgbColor rgb="FF99CC00"/>
      <rgbColor rgb="FFFFCC00"/>
      <rgbColor rgb="FFF79646"/>
      <rgbColor rgb="FFBF8F00"/>
      <rgbColor rgb="FF595959"/>
      <rgbColor rgb="FFC8A84B"/>
      <rgbColor rgb="FF17375E"/>
      <rgbColor rgb="FF2E7D8A"/>
      <rgbColor rgb="FF0D1B2A"/>
      <rgbColor rgb="FF1A1A1A"/>
      <rgbColor rgb="FF993300"/>
      <rgbColor rgb="FF993366"/>
      <rgbColor rgb="FF3949AB"/>
      <rgbColor rgb="FF3A3A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plantsciencesymposium.ucdavis.edu/" TargetMode="External"/><Relationship Id="rId3" Type="http://schemas.openxmlformats.org/officeDocument/2006/relationships/hyperlink" Target="https://www.worldagexpo.com/" TargetMode="External"/><Relationship Id="rId7" Type="http://schemas.openxmlformats.org/officeDocument/2006/relationships/hyperlink" Target="https://conference.eco-ag.com/" TargetMode="External"/><Relationship Id="rId2" Type="http://schemas.openxmlformats.org/officeDocument/2006/relationships/hyperlink" Target="https://www.sciencesocieties.org/canvas" TargetMode="External"/><Relationship Id="rId1" Type="http://schemas.openxmlformats.org/officeDocument/2006/relationships/hyperlink" Target="https://worldagritechusa.com/" TargetMode="External"/><Relationship Id="rId6" Type="http://schemas.openxmlformats.org/officeDocument/2006/relationships/hyperlink" Target="https://researchpark.illinois.edu/all-events/agtechsummit/" TargetMode="External"/><Relationship Id="rId5" Type="http://schemas.openxmlformats.org/officeDocument/2006/relationships/hyperlink" Target="https://www.sustainableagsummit.org/" TargetMode="External"/><Relationship Id="rId4" Type="http://schemas.openxmlformats.org/officeDocument/2006/relationships/hyperlink" Target="https://www.farmprogressshow.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atereuse.org/news-events/conferences/"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aiconusa.techwell.com/" TargetMode="External"/><Relationship Id="rId3" Type="http://schemas.openxmlformats.org/officeDocument/2006/relationships/hyperlink" Target="https://aaai.org/conference/aaai/" TargetMode="External"/><Relationship Id="rId7" Type="http://schemas.openxmlformats.org/officeDocument/2006/relationships/hyperlink" Target="https://event.technologyreview.com/emtech-ai-2026" TargetMode="External"/><Relationship Id="rId2" Type="http://schemas.openxmlformats.org/officeDocument/2006/relationships/hyperlink" Target="https://www.databricks.com/dataaisummit" TargetMode="External"/><Relationship Id="rId1" Type="http://schemas.openxmlformats.org/officeDocument/2006/relationships/hyperlink" Target="https://aiconference.com/" TargetMode="External"/><Relationship Id="rId6" Type="http://schemas.openxmlformats.org/officeDocument/2006/relationships/hyperlink" Target="https://mlhc.org/" TargetMode="External"/><Relationship Id="rId5" Type="http://schemas.openxmlformats.org/officeDocument/2006/relationships/hyperlink" Target="https://newyork.theaisummit.com/" TargetMode="External"/><Relationship Id="rId4" Type="http://schemas.openxmlformats.org/officeDocument/2006/relationships/hyperlink" Target="https://us-aisummit.com/" TargetMode="External"/><Relationship Id="rId9" Type="http://schemas.openxmlformats.org/officeDocument/2006/relationships/hyperlink" Target="https://chil.ahli.cc/"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storageusa.solarenergyevent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48235"/>
  </sheetPr>
  <dimension ref="A1:I17"/>
  <sheetViews>
    <sheetView zoomScale="90" zoomScaleNormal="90" workbookViewId="0">
      <pane xSplit="1" ySplit="5" topLeftCell="B6" activePane="bottomRight" state="frozen"/>
      <selection pane="topRight" activeCell="B1" sqref="B1"/>
      <selection pane="bottomLeft" activeCell="A6" sqref="A6"/>
      <selection pane="bottomRight"/>
    </sheetView>
  </sheetViews>
  <sheetFormatPr baseColWidth="10" defaultColWidth="8.6640625" defaultRowHeight="15" x14ac:dyDescent="0.2"/>
  <cols>
    <col min="1" max="1" width="32" style="14" customWidth="1"/>
    <col min="2" max="2" width="20" customWidth="1"/>
    <col min="3" max="3" width="48" customWidth="1"/>
    <col min="4" max="4" width="22" customWidth="1"/>
    <col min="5" max="5" width="18" customWidth="1"/>
    <col min="6" max="7" width="28" customWidth="1"/>
    <col min="8" max="8" width="34" customWidth="1"/>
    <col min="9" max="9" width="46" customWidth="1"/>
  </cols>
  <sheetData>
    <row r="1" spans="1:9" ht="33.75" customHeight="1" x14ac:dyDescent="0.2">
      <c r="A1" s="8" t="s">
        <v>0</v>
      </c>
      <c r="B1" s="8"/>
      <c r="C1" s="8"/>
      <c r="D1" s="8"/>
      <c r="E1" s="8"/>
      <c r="F1" s="8"/>
      <c r="G1" s="8"/>
      <c r="H1" s="8"/>
      <c r="I1" s="8"/>
    </row>
    <row r="2" spans="1:9" ht="19.5" customHeight="1" x14ac:dyDescent="0.2">
      <c r="A2" s="7" t="s">
        <v>1</v>
      </c>
      <c r="B2" s="7"/>
      <c r="C2" s="7"/>
      <c r="D2" s="7"/>
      <c r="E2" s="7"/>
      <c r="F2" s="7"/>
      <c r="G2" s="7"/>
      <c r="H2" s="7"/>
      <c r="I2" s="7"/>
    </row>
    <row r="3" spans="1:9" ht="7.5" customHeight="1" x14ac:dyDescent="0.2">
      <c r="A3" s="6"/>
      <c r="B3" s="6"/>
      <c r="C3" s="6"/>
      <c r="D3" s="6"/>
      <c r="E3" s="6"/>
      <c r="F3" s="6"/>
      <c r="G3" s="6"/>
      <c r="H3" s="6"/>
      <c r="I3" s="6"/>
    </row>
    <row r="4" spans="1:9" ht="30" customHeight="1" x14ac:dyDescent="0.2">
      <c r="A4" s="15" t="s">
        <v>2</v>
      </c>
      <c r="B4" s="16" t="s">
        <v>3</v>
      </c>
      <c r="C4" s="17" t="s">
        <v>4</v>
      </c>
      <c r="D4" s="17" t="s">
        <v>5</v>
      </c>
      <c r="E4" s="17" t="s">
        <v>6</v>
      </c>
      <c r="F4" s="17" t="s">
        <v>7</v>
      </c>
      <c r="G4" s="17" t="s">
        <v>8</v>
      </c>
      <c r="H4" s="17" t="s">
        <v>9</v>
      </c>
      <c r="I4" s="18" t="s">
        <v>10</v>
      </c>
    </row>
    <row r="5" spans="1:9" s="19" customFormat="1" ht="19.5" customHeight="1" x14ac:dyDescent="0.2">
      <c r="A5" s="5" t="s">
        <v>11</v>
      </c>
      <c r="B5" s="5"/>
      <c r="C5" s="5"/>
      <c r="D5" s="5"/>
      <c r="E5" s="5"/>
      <c r="F5" s="5"/>
      <c r="G5" s="5"/>
      <c r="H5" s="5"/>
      <c r="I5" s="5"/>
    </row>
    <row r="6" spans="1:9" ht="81.75" customHeight="1" x14ac:dyDescent="0.2">
      <c r="A6" s="20" t="s">
        <v>12</v>
      </c>
      <c r="B6" s="21" t="s">
        <v>13</v>
      </c>
      <c r="C6" s="22" t="s">
        <v>14</v>
      </c>
      <c r="D6" s="22" t="s">
        <v>15</v>
      </c>
      <c r="E6" s="22" t="s">
        <v>16</v>
      </c>
      <c r="F6" s="22" t="s">
        <v>17</v>
      </c>
      <c r="G6" s="22" t="s">
        <v>18</v>
      </c>
      <c r="H6" s="22" t="s">
        <v>19</v>
      </c>
      <c r="I6" s="22" t="s">
        <v>20</v>
      </c>
    </row>
    <row r="7" spans="1:9" ht="81.75" customHeight="1" x14ac:dyDescent="0.2">
      <c r="A7" s="20" t="s">
        <v>21</v>
      </c>
      <c r="B7" s="21" t="s">
        <v>13</v>
      </c>
      <c r="C7" s="23" t="s">
        <v>22</v>
      </c>
      <c r="D7" s="23" t="s">
        <v>15</v>
      </c>
      <c r="E7" s="23" t="s">
        <v>23</v>
      </c>
      <c r="F7" s="23" t="s">
        <v>24</v>
      </c>
      <c r="G7" s="23" t="s">
        <v>25</v>
      </c>
      <c r="H7" s="23" t="s">
        <v>26</v>
      </c>
      <c r="I7" s="23" t="s">
        <v>27</v>
      </c>
    </row>
    <row r="8" spans="1:9" ht="81.75" customHeight="1" x14ac:dyDescent="0.2">
      <c r="A8" s="20" t="s">
        <v>28</v>
      </c>
      <c r="B8" s="21" t="s">
        <v>13</v>
      </c>
      <c r="C8" s="22" t="s">
        <v>29</v>
      </c>
      <c r="D8" s="22" t="s">
        <v>15</v>
      </c>
      <c r="E8" s="22" t="s">
        <v>30</v>
      </c>
      <c r="F8" s="22" t="s">
        <v>31</v>
      </c>
      <c r="G8" s="22" t="s">
        <v>32</v>
      </c>
      <c r="H8" s="22" t="s">
        <v>33</v>
      </c>
      <c r="I8" s="22" t="s">
        <v>34</v>
      </c>
    </row>
    <row r="9" spans="1:9" ht="81.75" customHeight="1" x14ac:dyDescent="0.2">
      <c r="A9" s="20" t="s">
        <v>35</v>
      </c>
      <c r="B9" s="21" t="s">
        <v>13</v>
      </c>
      <c r="C9" s="23" t="s">
        <v>36</v>
      </c>
      <c r="D9" s="23" t="s">
        <v>15</v>
      </c>
      <c r="E9" s="23" t="s">
        <v>37</v>
      </c>
      <c r="F9" s="23" t="s">
        <v>17</v>
      </c>
      <c r="G9" s="23" t="s">
        <v>38</v>
      </c>
      <c r="H9" s="23" t="s">
        <v>39</v>
      </c>
      <c r="I9" s="23" t="s">
        <v>40</v>
      </c>
    </row>
    <row r="10" spans="1:9" ht="81.75" customHeight="1" x14ac:dyDescent="0.2">
      <c r="A10" s="20" t="s">
        <v>41</v>
      </c>
      <c r="B10" s="21" t="s">
        <v>13</v>
      </c>
      <c r="C10" s="22" t="s">
        <v>42</v>
      </c>
      <c r="D10" s="22" t="s">
        <v>15</v>
      </c>
      <c r="E10" s="22" t="s">
        <v>37</v>
      </c>
      <c r="F10" s="22" t="s">
        <v>17</v>
      </c>
      <c r="G10" s="22" t="s">
        <v>43</v>
      </c>
      <c r="H10" s="22" t="s">
        <v>44</v>
      </c>
      <c r="I10" s="22" t="s">
        <v>45</v>
      </c>
    </row>
    <row r="11" spans="1:9" ht="81.75" customHeight="1" x14ac:dyDescent="0.2">
      <c r="A11" s="20" t="s">
        <v>46</v>
      </c>
      <c r="B11" s="21" t="s">
        <v>13</v>
      </c>
      <c r="C11" s="23" t="s">
        <v>47</v>
      </c>
      <c r="D11" s="23" t="s">
        <v>15</v>
      </c>
      <c r="E11" s="23" t="s">
        <v>48</v>
      </c>
      <c r="F11" s="23" t="s">
        <v>49</v>
      </c>
      <c r="G11" s="23" t="s">
        <v>50</v>
      </c>
      <c r="H11" s="23" t="s">
        <v>51</v>
      </c>
      <c r="I11" s="23" t="s">
        <v>52</v>
      </c>
    </row>
    <row r="12" spans="1:9" ht="81.75" customHeight="1" x14ac:dyDescent="0.2">
      <c r="A12" s="20" t="s">
        <v>53</v>
      </c>
      <c r="B12" s="21" t="s">
        <v>13</v>
      </c>
      <c r="C12" s="22" t="s">
        <v>54</v>
      </c>
      <c r="D12" s="22" t="s">
        <v>15</v>
      </c>
      <c r="E12" s="22" t="s">
        <v>55</v>
      </c>
      <c r="F12" s="22" t="s">
        <v>56</v>
      </c>
      <c r="G12" s="22" t="s">
        <v>57</v>
      </c>
      <c r="H12" s="22" t="s">
        <v>58</v>
      </c>
      <c r="I12" s="22" t="s">
        <v>59</v>
      </c>
    </row>
    <row r="13" spans="1:9" ht="81.75" customHeight="1" x14ac:dyDescent="0.2">
      <c r="A13" s="20" t="s">
        <v>60</v>
      </c>
      <c r="B13" s="21" t="s">
        <v>13</v>
      </c>
      <c r="C13" s="23" t="s">
        <v>61</v>
      </c>
      <c r="D13" s="23" t="s">
        <v>15</v>
      </c>
      <c r="E13" s="23" t="s">
        <v>62</v>
      </c>
      <c r="F13" s="23" t="s">
        <v>63</v>
      </c>
      <c r="G13" s="23" t="s">
        <v>64</v>
      </c>
      <c r="H13" s="23" t="s">
        <v>65</v>
      </c>
      <c r="I13" s="23" t="s">
        <v>66</v>
      </c>
    </row>
    <row r="14" spans="1:9" ht="81.75" customHeight="1" x14ac:dyDescent="0.2">
      <c r="A14" s="20" t="s">
        <v>67</v>
      </c>
      <c r="B14" s="21" t="s">
        <v>13</v>
      </c>
      <c r="C14" s="22" t="s">
        <v>68</v>
      </c>
      <c r="D14" s="22" t="s">
        <v>15</v>
      </c>
      <c r="E14" s="22" t="s">
        <v>69</v>
      </c>
      <c r="F14" s="22" t="s">
        <v>70</v>
      </c>
      <c r="G14" s="22" t="s">
        <v>71</v>
      </c>
      <c r="H14" s="22" t="s">
        <v>72</v>
      </c>
      <c r="I14" s="22" t="s">
        <v>73</v>
      </c>
    </row>
    <row r="15" spans="1:9" ht="81.75" customHeight="1" x14ac:dyDescent="0.2">
      <c r="A15" s="20" t="s">
        <v>74</v>
      </c>
      <c r="B15" s="24" t="s">
        <v>75</v>
      </c>
      <c r="C15" s="23" t="s">
        <v>76</v>
      </c>
      <c r="D15" s="23" t="s">
        <v>15</v>
      </c>
      <c r="E15" s="23" t="s">
        <v>77</v>
      </c>
      <c r="F15" s="23" t="s">
        <v>78</v>
      </c>
      <c r="G15" s="23" t="s">
        <v>79</v>
      </c>
      <c r="H15" s="23" t="s">
        <v>80</v>
      </c>
      <c r="I15" s="23" t="s">
        <v>81</v>
      </c>
    </row>
    <row r="16" spans="1:9" ht="81.75" customHeight="1" x14ac:dyDescent="0.2">
      <c r="A16" s="20" t="s">
        <v>82</v>
      </c>
      <c r="B16" s="24" t="s">
        <v>83</v>
      </c>
      <c r="C16" s="22" t="s">
        <v>84</v>
      </c>
      <c r="D16" s="22" t="s">
        <v>15</v>
      </c>
      <c r="E16" s="22" t="s">
        <v>85</v>
      </c>
      <c r="F16" s="22" t="s">
        <v>86</v>
      </c>
      <c r="G16" s="22" t="s">
        <v>87</v>
      </c>
      <c r="H16" s="22" t="s">
        <v>88</v>
      </c>
      <c r="I16" s="22" t="s">
        <v>89</v>
      </c>
    </row>
    <row r="17" spans="1:9" s="27" customFormat="1" ht="81.75" customHeight="1" x14ac:dyDescent="0.2">
      <c r="A17" s="20" t="s">
        <v>90</v>
      </c>
      <c r="B17" s="25" t="s">
        <v>91</v>
      </c>
      <c r="C17" s="26" t="s">
        <v>92</v>
      </c>
      <c r="D17" s="26" t="s">
        <v>15</v>
      </c>
      <c r="E17" s="26" t="s">
        <v>93</v>
      </c>
      <c r="F17" s="26" t="s">
        <v>94</v>
      </c>
      <c r="G17" s="26" t="s">
        <v>95</v>
      </c>
      <c r="H17" s="26" t="s">
        <v>96</v>
      </c>
      <c r="I17" s="26" t="s">
        <v>97</v>
      </c>
    </row>
  </sheetData>
  <autoFilter ref="A4:I17" xr:uid="{00000000-0009-0000-0000-000000000000}"/>
  <mergeCells count="4">
    <mergeCell ref="A1:I1"/>
    <mergeCell ref="A2:I2"/>
    <mergeCell ref="A3:I3"/>
    <mergeCell ref="A5:I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AC25"/>
  <sheetViews>
    <sheetView zoomScale="36" zoomScaleNormal="85" workbookViewId="0">
      <pane xSplit="1" ySplit="4" topLeftCell="B6" activePane="bottomRight" state="frozen"/>
      <selection pane="topRight" activeCell="B1" sqref="B1"/>
      <selection pane="bottomLeft" activeCell="A5" sqref="A5"/>
      <selection pane="bottomRight" activeCell="B10" sqref="B10"/>
    </sheetView>
  </sheetViews>
  <sheetFormatPr baseColWidth="10" defaultColWidth="8.6640625" defaultRowHeight="15" x14ac:dyDescent="0.2"/>
  <cols>
    <col min="1" max="1" width="32" customWidth="1"/>
    <col min="2" max="2" width="46" customWidth="1"/>
    <col min="3" max="3" width="24" customWidth="1"/>
    <col min="4" max="4" width="20" customWidth="1"/>
    <col min="5" max="5" width="12" customWidth="1"/>
    <col min="6" max="6" width="11" customWidth="1"/>
    <col min="7" max="7" width="24" customWidth="1"/>
    <col min="8" max="8" width="32" customWidth="1"/>
    <col min="9" max="15" width="11" customWidth="1"/>
    <col min="16" max="21" width="24" customWidth="1"/>
    <col min="22" max="27" width="8.5" customWidth="1"/>
    <col min="28" max="28" width="9" customWidth="1"/>
    <col min="29" max="29" width="24" customWidth="1"/>
  </cols>
  <sheetData>
    <row r="1" spans="1:29" ht="33.75" customHeight="1" x14ac:dyDescent="0.2">
      <c r="A1" s="13" t="s">
        <v>98</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row>
    <row r="2" spans="1:29" ht="19.5" customHeight="1" x14ac:dyDescent="0.2">
      <c r="A2" s="12" t="s">
        <v>99</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row>
    <row r="3" spans="1:29" ht="19.5" customHeight="1" x14ac:dyDescent="0.2">
      <c r="A3" s="11" t="s">
        <v>100</v>
      </c>
      <c r="B3" s="11"/>
      <c r="C3" s="11"/>
      <c r="D3" s="11"/>
      <c r="E3" s="11"/>
      <c r="F3" s="11"/>
      <c r="G3" s="11"/>
      <c r="H3" s="11"/>
      <c r="I3" s="11" t="s">
        <v>101</v>
      </c>
      <c r="J3" s="11"/>
      <c r="K3" s="11"/>
      <c r="L3" s="11"/>
      <c r="M3" s="11"/>
      <c r="N3" s="11"/>
      <c r="O3" s="11"/>
      <c r="P3" s="10" t="s">
        <v>102</v>
      </c>
      <c r="Q3" s="10"/>
      <c r="R3" s="10"/>
      <c r="S3" s="10"/>
      <c r="T3" s="10"/>
      <c r="U3" s="10"/>
      <c r="V3" s="9" t="s">
        <v>103</v>
      </c>
      <c r="W3" s="9"/>
      <c r="X3" s="9"/>
      <c r="Y3" s="9"/>
      <c r="Z3" s="9"/>
      <c r="AA3" s="9"/>
      <c r="AB3" s="9"/>
      <c r="AC3" s="9"/>
    </row>
    <row r="4" spans="1:29" ht="43.5" customHeight="1" x14ac:dyDescent="0.2">
      <c r="A4" s="28" t="s">
        <v>2</v>
      </c>
      <c r="B4" s="28" t="s">
        <v>4</v>
      </c>
      <c r="C4" s="28" t="s">
        <v>104</v>
      </c>
      <c r="D4" s="28" t="s">
        <v>5</v>
      </c>
      <c r="E4" s="28" t="s">
        <v>105</v>
      </c>
      <c r="F4" s="28" t="s">
        <v>106</v>
      </c>
      <c r="G4" s="28" t="s">
        <v>7</v>
      </c>
      <c r="H4" s="28" t="s">
        <v>9</v>
      </c>
      <c r="I4" s="28" t="s">
        <v>107</v>
      </c>
      <c r="J4" s="28" t="s">
        <v>108</v>
      </c>
      <c r="K4" s="28" t="s">
        <v>109</v>
      </c>
      <c r="L4" s="28" t="s">
        <v>110</v>
      </c>
      <c r="M4" s="28" t="s">
        <v>111</v>
      </c>
      <c r="N4" s="28" t="s">
        <v>112</v>
      </c>
      <c r="O4" s="28" t="s">
        <v>113</v>
      </c>
      <c r="P4" s="29" t="s">
        <v>114</v>
      </c>
      <c r="Q4" s="29" t="s">
        <v>115</v>
      </c>
      <c r="R4" s="29" t="s">
        <v>116</v>
      </c>
      <c r="S4" s="29" t="s">
        <v>117</v>
      </c>
      <c r="T4" s="29" t="s">
        <v>118</v>
      </c>
      <c r="U4" s="29" t="s">
        <v>119</v>
      </c>
      <c r="V4" s="30" t="s">
        <v>120</v>
      </c>
      <c r="W4" s="30" t="s">
        <v>121</v>
      </c>
      <c r="X4" s="30" t="s">
        <v>122</v>
      </c>
      <c r="Y4" s="30" t="s">
        <v>123</v>
      </c>
      <c r="Z4" s="30" t="s">
        <v>124</v>
      </c>
      <c r="AA4" s="30" t="s">
        <v>125</v>
      </c>
      <c r="AB4" s="31" t="s">
        <v>126</v>
      </c>
      <c r="AC4" s="31" t="s">
        <v>127</v>
      </c>
    </row>
    <row r="5" spans="1:29" s="40" customFormat="1" ht="67.5" customHeight="1" x14ac:dyDescent="0.2">
      <c r="A5" s="32" t="s">
        <v>128</v>
      </c>
      <c r="B5" s="33" t="s">
        <v>129</v>
      </c>
      <c r="C5" s="34" t="s">
        <v>130</v>
      </c>
      <c r="D5" s="33" t="s">
        <v>131</v>
      </c>
      <c r="E5" s="33" t="s">
        <v>132</v>
      </c>
      <c r="F5" s="33" t="s">
        <v>133</v>
      </c>
      <c r="G5" s="33" t="s">
        <v>134</v>
      </c>
      <c r="H5" s="33" t="s">
        <v>135</v>
      </c>
      <c r="I5" s="35" t="s">
        <v>136</v>
      </c>
      <c r="J5" s="36" t="s">
        <v>137</v>
      </c>
      <c r="K5" s="36" t="s">
        <v>137</v>
      </c>
      <c r="L5" s="35" t="s">
        <v>136</v>
      </c>
      <c r="M5" s="36" t="s">
        <v>137</v>
      </c>
      <c r="N5" s="36" t="s">
        <v>137</v>
      </c>
      <c r="O5" s="36" t="s">
        <v>137</v>
      </c>
      <c r="P5" s="33" t="s">
        <v>138</v>
      </c>
      <c r="Q5" s="33" t="s">
        <v>139</v>
      </c>
      <c r="R5" s="33" t="s">
        <v>140</v>
      </c>
      <c r="S5" s="33" t="s">
        <v>141</v>
      </c>
      <c r="T5" s="33" t="s">
        <v>142</v>
      </c>
      <c r="U5" s="33" t="s">
        <v>143</v>
      </c>
      <c r="V5" s="37">
        <v>2</v>
      </c>
      <c r="W5" s="37">
        <v>3</v>
      </c>
      <c r="X5" s="37">
        <v>3</v>
      </c>
      <c r="Y5" s="37">
        <v>3</v>
      </c>
      <c r="Z5" s="37">
        <v>3</v>
      </c>
      <c r="AA5" s="37">
        <v>3</v>
      </c>
      <c r="AB5" s="38">
        <f t="shared" ref="AB5:AB25" si="0">SUM(V5:AA5)</f>
        <v>17</v>
      </c>
      <c r="AC5" s="39" t="s">
        <v>144</v>
      </c>
    </row>
    <row r="6" spans="1:29" ht="67.5" customHeight="1" x14ac:dyDescent="0.2">
      <c r="A6" s="32" t="s">
        <v>145</v>
      </c>
      <c r="B6" s="33" t="s">
        <v>146</v>
      </c>
      <c r="C6" s="34" t="s">
        <v>147</v>
      </c>
      <c r="D6" s="33" t="s">
        <v>148</v>
      </c>
      <c r="E6" s="33" t="s">
        <v>149</v>
      </c>
      <c r="F6" s="33" t="s">
        <v>133</v>
      </c>
      <c r="G6" s="33" t="s">
        <v>150</v>
      </c>
      <c r="H6" s="33" t="s">
        <v>151</v>
      </c>
      <c r="I6" s="35" t="s">
        <v>136</v>
      </c>
      <c r="J6" s="35" t="s">
        <v>136</v>
      </c>
      <c r="K6" s="36" t="s">
        <v>137</v>
      </c>
      <c r="L6" s="36" t="s">
        <v>137</v>
      </c>
      <c r="M6" s="36" t="s">
        <v>137</v>
      </c>
      <c r="N6" s="36" t="s">
        <v>137</v>
      </c>
      <c r="O6" s="36" t="s">
        <v>137</v>
      </c>
      <c r="P6" s="33" t="s">
        <v>152</v>
      </c>
      <c r="Q6" s="33" t="s">
        <v>139</v>
      </c>
      <c r="R6" s="33" t="s">
        <v>140</v>
      </c>
      <c r="S6" s="33" t="s">
        <v>153</v>
      </c>
      <c r="T6" s="33" t="s">
        <v>142</v>
      </c>
      <c r="U6" s="33" t="s">
        <v>143</v>
      </c>
      <c r="V6" s="37">
        <v>3</v>
      </c>
      <c r="W6" s="37">
        <v>3</v>
      </c>
      <c r="X6" s="37">
        <v>3</v>
      </c>
      <c r="Y6" s="37">
        <v>2</v>
      </c>
      <c r="Z6" s="37">
        <v>3</v>
      </c>
      <c r="AA6" s="37">
        <v>3</v>
      </c>
      <c r="AB6" s="38">
        <f t="shared" si="0"/>
        <v>17</v>
      </c>
      <c r="AC6" s="39" t="s">
        <v>144</v>
      </c>
    </row>
    <row r="7" spans="1:29" ht="67.5" customHeight="1" x14ac:dyDescent="0.2">
      <c r="A7" s="32" t="s">
        <v>154</v>
      </c>
      <c r="B7" s="33" t="s">
        <v>155</v>
      </c>
      <c r="C7" s="34" t="s">
        <v>156</v>
      </c>
      <c r="D7" s="33" t="s">
        <v>157</v>
      </c>
      <c r="E7" s="33" t="s">
        <v>158</v>
      </c>
      <c r="F7" s="33" t="s">
        <v>133</v>
      </c>
      <c r="G7" s="33" t="s">
        <v>159</v>
      </c>
      <c r="H7" s="33" t="s">
        <v>160</v>
      </c>
      <c r="I7" s="35" t="s">
        <v>136</v>
      </c>
      <c r="J7" s="35" t="s">
        <v>136</v>
      </c>
      <c r="K7" s="36" t="s">
        <v>137</v>
      </c>
      <c r="L7" s="35" t="s">
        <v>136</v>
      </c>
      <c r="M7" s="36" t="s">
        <v>137</v>
      </c>
      <c r="N7" s="36" t="s">
        <v>137</v>
      </c>
      <c r="O7" s="36" t="s">
        <v>137</v>
      </c>
      <c r="P7" s="33" t="s">
        <v>152</v>
      </c>
      <c r="Q7" s="33" t="s">
        <v>139</v>
      </c>
      <c r="R7" s="33" t="s">
        <v>140</v>
      </c>
      <c r="S7" s="33" t="s">
        <v>153</v>
      </c>
      <c r="T7" s="33" t="s">
        <v>142</v>
      </c>
      <c r="U7" s="33" t="s">
        <v>143</v>
      </c>
      <c r="V7" s="37">
        <v>3</v>
      </c>
      <c r="W7" s="37">
        <v>3</v>
      </c>
      <c r="X7" s="37">
        <v>3</v>
      </c>
      <c r="Y7" s="37">
        <v>2</v>
      </c>
      <c r="Z7" s="37">
        <v>3</v>
      </c>
      <c r="AA7" s="37">
        <v>3</v>
      </c>
      <c r="AB7" s="38">
        <f t="shared" si="0"/>
        <v>17</v>
      </c>
      <c r="AC7" s="39" t="s">
        <v>144</v>
      </c>
    </row>
    <row r="8" spans="1:29" ht="67.5" customHeight="1" x14ac:dyDescent="0.2">
      <c r="A8" s="32" t="s">
        <v>161</v>
      </c>
      <c r="B8" s="33" t="s">
        <v>162</v>
      </c>
      <c r="C8" s="34" t="s">
        <v>163</v>
      </c>
      <c r="D8" s="33" t="s">
        <v>164</v>
      </c>
      <c r="E8" s="33" t="s">
        <v>165</v>
      </c>
      <c r="F8" s="33" t="s">
        <v>133</v>
      </c>
      <c r="G8" s="33" t="s">
        <v>166</v>
      </c>
      <c r="H8" s="33" t="s">
        <v>167</v>
      </c>
      <c r="I8" s="35" t="s">
        <v>136</v>
      </c>
      <c r="J8" s="36" t="s">
        <v>137</v>
      </c>
      <c r="K8" s="36" t="s">
        <v>137</v>
      </c>
      <c r="L8" s="35" t="s">
        <v>136</v>
      </c>
      <c r="M8" s="36" t="s">
        <v>137</v>
      </c>
      <c r="N8" s="36" t="s">
        <v>137</v>
      </c>
      <c r="O8" s="36" t="s">
        <v>137</v>
      </c>
      <c r="P8" s="33" t="s">
        <v>152</v>
      </c>
      <c r="Q8" s="33" t="s">
        <v>139</v>
      </c>
      <c r="R8" s="33" t="s">
        <v>140</v>
      </c>
      <c r="S8" s="33" t="s">
        <v>153</v>
      </c>
      <c r="T8" s="33" t="s">
        <v>142</v>
      </c>
      <c r="U8" s="33" t="s">
        <v>168</v>
      </c>
      <c r="V8" s="37">
        <v>3</v>
      </c>
      <c r="W8" s="37">
        <v>3</v>
      </c>
      <c r="X8" s="37">
        <v>3</v>
      </c>
      <c r="Y8" s="37">
        <v>2</v>
      </c>
      <c r="Z8" s="37">
        <v>3</v>
      </c>
      <c r="AA8" s="37">
        <v>2</v>
      </c>
      <c r="AB8" s="38">
        <f t="shared" si="0"/>
        <v>16</v>
      </c>
      <c r="AC8" s="39" t="s">
        <v>144</v>
      </c>
    </row>
    <row r="9" spans="1:29" ht="67.5" customHeight="1" x14ac:dyDescent="0.2">
      <c r="A9" s="32" t="s">
        <v>169</v>
      </c>
      <c r="B9" s="33" t="s">
        <v>170</v>
      </c>
      <c r="C9" s="34" t="s">
        <v>171</v>
      </c>
      <c r="D9" s="33" t="s">
        <v>172</v>
      </c>
      <c r="E9" s="33" t="s">
        <v>149</v>
      </c>
      <c r="F9" s="33" t="s">
        <v>133</v>
      </c>
      <c r="G9" s="33" t="s">
        <v>173</v>
      </c>
      <c r="H9" s="33" t="s">
        <v>174</v>
      </c>
      <c r="I9" s="35" t="s">
        <v>136</v>
      </c>
      <c r="J9" s="35" t="s">
        <v>136</v>
      </c>
      <c r="K9" s="36" t="s">
        <v>137</v>
      </c>
      <c r="L9" s="36" t="s">
        <v>137</v>
      </c>
      <c r="M9" s="35" t="s">
        <v>136</v>
      </c>
      <c r="N9" s="36" t="s">
        <v>137</v>
      </c>
      <c r="O9" s="36" t="s">
        <v>137</v>
      </c>
      <c r="P9" s="33" t="s">
        <v>138</v>
      </c>
      <c r="Q9" s="33" t="s">
        <v>139</v>
      </c>
      <c r="R9" s="33" t="s">
        <v>140</v>
      </c>
      <c r="S9" s="33" t="s">
        <v>141</v>
      </c>
      <c r="T9" s="33" t="s">
        <v>142</v>
      </c>
      <c r="U9" s="33" t="s">
        <v>143</v>
      </c>
      <c r="V9" s="37">
        <v>2</v>
      </c>
      <c r="W9" s="37">
        <v>3</v>
      </c>
      <c r="X9" s="37">
        <v>3</v>
      </c>
      <c r="Y9" s="37">
        <v>3</v>
      </c>
      <c r="Z9" s="37">
        <v>3</v>
      </c>
      <c r="AA9" s="37">
        <v>3</v>
      </c>
      <c r="AB9" s="38">
        <f t="shared" si="0"/>
        <v>17</v>
      </c>
      <c r="AC9" s="39" t="s">
        <v>144</v>
      </c>
    </row>
    <row r="10" spans="1:29" ht="67.5" customHeight="1" x14ac:dyDescent="0.2">
      <c r="A10" s="32" t="s">
        <v>175</v>
      </c>
      <c r="B10" s="33" t="s">
        <v>176</v>
      </c>
      <c r="C10" s="41" t="s">
        <v>177</v>
      </c>
      <c r="D10" s="33" t="s">
        <v>178</v>
      </c>
      <c r="E10" s="33" t="s">
        <v>179</v>
      </c>
      <c r="F10" s="33" t="s">
        <v>133</v>
      </c>
      <c r="G10" s="33" t="s">
        <v>180</v>
      </c>
      <c r="H10" s="33" t="s">
        <v>181</v>
      </c>
      <c r="I10" s="35" t="s">
        <v>136</v>
      </c>
      <c r="J10" s="35" t="s">
        <v>136</v>
      </c>
      <c r="K10" s="36" t="s">
        <v>137</v>
      </c>
      <c r="L10" s="35" t="s">
        <v>136</v>
      </c>
      <c r="M10" s="36" t="s">
        <v>137</v>
      </c>
      <c r="N10" s="36" t="s">
        <v>137</v>
      </c>
      <c r="O10" s="36" t="s">
        <v>137</v>
      </c>
      <c r="P10" s="33" t="s">
        <v>152</v>
      </c>
      <c r="Q10" s="33" t="s">
        <v>139</v>
      </c>
      <c r="R10" s="33" t="s">
        <v>182</v>
      </c>
      <c r="S10" s="33" t="s">
        <v>153</v>
      </c>
      <c r="T10" s="33" t="s">
        <v>142</v>
      </c>
      <c r="U10" s="33" t="s">
        <v>143</v>
      </c>
      <c r="V10" s="37">
        <v>3</v>
      </c>
      <c r="W10" s="37">
        <v>3</v>
      </c>
      <c r="X10" s="37">
        <v>2</v>
      </c>
      <c r="Y10" s="37">
        <v>2</v>
      </c>
      <c r="Z10" s="37">
        <v>3</v>
      </c>
      <c r="AA10" s="37">
        <v>3</v>
      </c>
      <c r="AB10" s="38">
        <f t="shared" si="0"/>
        <v>16</v>
      </c>
      <c r="AC10" s="39" t="s">
        <v>144</v>
      </c>
    </row>
    <row r="11" spans="1:29" ht="67.5" customHeight="1" x14ac:dyDescent="0.2">
      <c r="A11" s="32" t="s">
        <v>183</v>
      </c>
      <c r="B11" s="33" t="s">
        <v>184</v>
      </c>
      <c r="C11" s="41" t="s">
        <v>185</v>
      </c>
      <c r="D11" s="33" t="s">
        <v>186</v>
      </c>
      <c r="E11" s="33" t="s">
        <v>187</v>
      </c>
      <c r="F11" s="33" t="s">
        <v>133</v>
      </c>
      <c r="G11" s="33" t="s">
        <v>188</v>
      </c>
      <c r="H11" s="33" t="s">
        <v>189</v>
      </c>
      <c r="I11" s="35" t="s">
        <v>136</v>
      </c>
      <c r="J11" s="36" t="s">
        <v>137</v>
      </c>
      <c r="K11" s="36" t="s">
        <v>137</v>
      </c>
      <c r="L11" s="36" t="s">
        <v>137</v>
      </c>
      <c r="M11" s="36" t="s">
        <v>137</v>
      </c>
      <c r="N11" s="36" t="s">
        <v>137</v>
      </c>
      <c r="O11" s="35" t="s">
        <v>136</v>
      </c>
      <c r="P11" s="33" t="s">
        <v>138</v>
      </c>
      <c r="Q11" s="33" t="s">
        <v>190</v>
      </c>
      <c r="R11" s="33" t="s">
        <v>182</v>
      </c>
      <c r="S11" s="33" t="s">
        <v>153</v>
      </c>
      <c r="T11" s="33" t="s">
        <v>191</v>
      </c>
      <c r="U11" s="33" t="s">
        <v>168</v>
      </c>
      <c r="V11" s="37">
        <v>2</v>
      </c>
      <c r="W11" s="37">
        <v>2</v>
      </c>
      <c r="X11" s="37">
        <v>2</v>
      </c>
      <c r="Y11" s="37">
        <v>2</v>
      </c>
      <c r="Z11" s="37">
        <v>2</v>
      </c>
      <c r="AA11" s="37">
        <v>2</v>
      </c>
      <c r="AB11" s="38">
        <f t="shared" si="0"/>
        <v>12</v>
      </c>
      <c r="AC11" s="39" t="s">
        <v>192</v>
      </c>
    </row>
    <row r="12" spans="1:29" s="42" customFormat="1" ht="67.5" customHeight="1" x14ac:dyDescent="0.2">
      <c r="A12" s="32" t="s">
        <v>193</v>
      </c>
      <c r="B12" s="33" t="s">
        <v>194</v>
      </c>
      <c r="C12" s="41" t="s">
        <v>195</v>
      </c>
      <c r="D12" s="33" t="s">
        <v>196</v>
      </c>
      <c r="E12" s="33" t="s">
        <v>179</v>
      </c>
      <c r="F12" s="33" t="s">
        <v>133</v>
      </c>
      <c r="G12" s="33" t="s">
        <v>197</v>
      </c>
      <c r="H12" s="33" t="s">
        <v>198</v>
      </c>
      <c r="I12" s="35" t="s">
        <v>136</v>
      </c>
      <c r="J12" s="36" t="s">
        <v>137</v>
      </c>
      <c r="K12" s="36" t="s">
        <v>137</v>
      </c>
      <c r="L12" s="35" t="s">
        <v>136</v>
      </c>
      <c r="M12" s="36" t="s">
        <v>137</v>
      </c>
      <c r="N12" s="36" t="s">
        <v>137</v>
      </c>
      <c r="O12" s="36" t="s">
        <v>137</v>
      </c>
      <c r="P12" s="33" t="s">
        <v>138</v>
      </c>
      <c r="Q12" s="33" t="s">
        <v>190</v>
      </c>
      <c r="R12" s="33" t="s">
        <v>182</v>
      </c>
      <c r="S12" s="33" t="s">
        <v>153</v>
      </c>
      <c r="T12" s="33" t="s">
        <v>191</v>
      </c>
      <c r="U12" s="33" t="s">
        <v>168</v>
      </c>
      <c r="V12" s="37">
        <v>2</v>
      </c>
      <c r="W12" s="37">
        <v>2</v>
      </c>
      <c r="X12" s="37">
        <v>2</v>
      </c>
      <c r="Y12" s="37">
        <v>2</v>
      </c>
      <c r="Z12" s="37">
        <v>2</v>
      </c>
      <c r="AA12" s="37">
        <v>2</v>
      </c>
      <c r="AB12" s="38">
        <f t="shared" si="0"/>
        <v>12</v>
      </c>
      <c r="AC12" s="39" t="s">
        <v>192</v>
      </c>
    </row>
    <row r="13" spans="1:29" ht="67.5" customHeight="1" x14ac:dyDescent="0.2">
      <c r="A13" s="32" t="s">
        <v>199</v>
      </c>
      <c r="B13" s="33" t="s">
        <v>200</v>
      </c>
      <c r="C13" s="34" t="s">
        <v>201</v>
      </c>
      <c r="D13" s="33" t="s">
        <v>202</v>
      </c>
      <c r="E13" s="33" t="s">
        <v>132</v>
      </c>
      <c r="F13" s="33" t="s">
        <v>133</v>
      </c>
      <c r="G13" s="33" t="s">
        <v>203</v>
      </c>
      <c r="H13" s="33" t="s">
        <v>204</v>
      </c>
      <c r="I13" s="35" t="s">
        <v>136</v>
      </c>
      <c r="J13" s="36" t="s">
        <v>137</v>
      </c>
      <c r="K13" s="36" t="s">
        <v>137</v>
      </c>
      <c r="L13" s="35" t="s">
        <v>136</v>
      </c>
      <c r="M13" s="36" t="s">
        <v>137</v>
      </c>
      <c r="N13" s="36" t="s">
        <v>137</v>
      </c>
      <c r="O13" s="36" t="s">
        <v>137</v>
      </c>
      <c r="P13" s="33" t="s">
        <v>152</v>
      </c>
      <c r="Q13" s="33" t="s">
        <v>190</v>
      </c>
      <c r="R13" s="33" t="s">
        <v>182</v>
      </c>
      <c r="S13" s="33" t="s">
        <v>153</v>
      </c>
      <c r="T13" s="33" t="s">
        <v>142</v>
      </c>
      <c r="U13" s="33" t="s">
        <v>168</v>
      </c>
      <c r="V13" s="37">
        <v>3</v>
      </c>
      <c r="W13" s="37">
        <v>2</v>
      </c>
      <c r="X13" s="37">
        <v>2</v>
      </c>
      <c r="Y13" s="37">
        <v>2</v>
      </c>
      <c r="Z13" s="37">
        <v>3</v>
      </c>
      <c r="AA13" s="37">
        <v>2</v>
      </c>
      <c r="AB13" s="38">
        <f t="shared" si="0"/>
        <v>14</v>
      </c>
      <c r="AC13" s="39" t="s">
        <v>192</v>
      </c>
    </row>
    <row r="14" spans="1:29" ht="67.5" customHeight="1" x14ac:dyDescent="0.2">
      <c r="A14" s="32" t="s">
        <v>205</v>
      </c>
      <c r="B14" s="33" t="s">
        <v>206</v>
      </c>
      <c r="C14" s="41" t="s">
        <v>207</v>
      </c>
      <c r="D14" s="33" t="s">
        <v>178</v>
      </c>
      <c r="E14" s="33" t="s">
        <v>208</v>
      </c>
      <c r="F14" s="33" t="s">
        <v>133</v>
      </c>
      <c r="G14" s="33" t="s">
        <v>209</v>
      </c>
      <c r="H14" s="33" t="s">
        <v>210</v>
      </c>
      <c r="I14" s="35" t="s">
        <v>136</v>
      </c>
      <c r="J14" s="36" t="s">
        <v>137</v>
      </c>
      <c r="K14" s="36" t="s">
        <v>137</v>
      </c>
      <c r="L14" s="36" t="s">
        <v>137</v>
      </c>
      <c r="M14" s="36" t="s">
        <v>137</v>
      </c>
      <c r="N14" s="36" t="s">
        <v>137</v>
      </c>
      <c r="O14" s="35" t="s">
        <v>136</v>
      </c>
      <c r="P14" s="33" t="s">
        <v>152</v>
      </c>
      <c r="Q14" s="33" t="s">
        <v>190</v>
      </c>
      <c r="R14" s="33" t="s">
        <v>182</v>
      </c>
      <c r="S14" s="33" t="s">
        <v>153</v>
      </c>
      <c r="T14" s="33" t="s">
        <v>142</v>
      </c>
      <c r="U14" s="33" t="s">
        <v>168</v>
      </c>
      <c r="V14" s="37">
        <v>3</v>
      </c>
      <c r="W14" s="37">
        <v>2</v>
      </c>
      <c r="X14" s="37">
        <v>2</v>
      </c>
      <c r="Y14" s="37">
        <v>2</v>
      </c>
      <c r="Z14" s="37">
        <v>3</v>
      </c>
      <c r="AA14" s="37">
        <v>2</v>
      </c>
      <c r="AB14" s="38">
        <f t="shared" si="0"/>
        <v>14</v>
      </c>
      <c r="AC14" s="39" t="s">
        <v>192</v>
      </c>
    </row>
    <row r="15" spans="1:29" ht="67.5" customHeight="1" x14ac:dyDescent="0.2">
      <c r="A15" s="32" t="s">
        <v>211</v>
      </c>
      <c r="B15" s="33" t="s">
        <v>212</v>
      </c>
      <c r="C15" s="34" t="s">
        <v>213</v>
      </c>
      <c r="D15" s="33" t="s">
        <v>214</v>
      </c>
      <c r="E15" s="33" t="s">
        <v>215</v>
      </c>
      <c r="F15" s="33" t="s">
        <v>133</v>
      </c>
      <c r="G15" s="33" t="s">
        <v>216</v>
      </c>
      <c r="H15" s="33" t="s">
        <v>217</v>
      </c>
      <c r="I15" s="35" t="s">
        <v>136</v>
      </c>
      <c r="J15" s="35" t="s">
        <v>136</v>
      </c>
      <c r="K15" s="36" t="s">
        <v>137</v>
      </c>
      <c r="L15" s="36" t="s">
        <v>137</v>
      </c>
      <c r="M15" s="36" t="s">
        <v>137</v>
      </c>
      <c r="N15" s="36" t="s">
        <v>137</v>
      </c>
      <c r="O15" s="36" t="s">
        <v>137</v>
      </c>
      <c r="P15" s="33" t="s">
        <v>152</v>
      </c>
      <c r="Q15" s="33" t="s">
        <v>190</v>
      </c>
      <c r="R15" s="33" t="s">
        <v>140</v>
      </c>
      <c r="S15" s="33" t="s">
        <v>153</v>
      </c>
      <c r="T15" s="33" t="s">
        <v>191</v>
      </c>
      <c r="U15" s="33" t="s">
        <v>168</v>
      </c>
      <c r="V15" s="37">
        <v>3</v>
      </c>
      <c r="W15" s="37">
        <v>2</v>
      </c>
      <c r="X15" s="37">
        <v>3</v>
      </c>
      <c r="Y15" s="37">
        <v>2</v>
      </c>
      <c r="Z15" s="37">
        <v>2</v>
      </c>
      <c r="AA15" s="37">
        <v>2</v>
      </c>
      <c r="AB15" s="38">
        <f t="shared" si="0"/>
        <v>14</v>
      </c>
      <c r="AC15" s="39" t="s">
        <v>192</v>
      </c>
    </row>
    <row r="16" spans="1:29" ht="67.5" customHeight="1" x14ac:dyDescent="0.2">
      <c r="A16" s="32" t="s">
        <v>218</v>
      </c>
      <c r="B16" s="33" t="s">
        <v>219</v>
      </c>
      <c r="C16" s="41" t="s">
        <v>220</v>
      </c>
      <c r="D16" s="33" t="s">
        <v>221</v>
      </c>
      <c r="E16" s="33" t="s">
        <v>222</v>
      </c>
      <c r="F16" s="33" t="s">
        <v>133</v>
      </c>
      <c r="G16" s="33" t="s">
        <v>223</v>
      </c>
      <c r="H16" s="33" t="s">
        <v>224</v>
      </c>
      <c r="I16" s="35" t="s">
        <v>136</v>
      </c>
      <c r="J16" s="36" t="s">
        <v>137</v>
      </c>
      <c r="K16" s="36" t="s">
        <v>137</v>
      </c>
      <c r="L16" s="35" t="s">
        <v>136</v>
      </c>
      <c r="M16" s="36" t="s">
        <v>137</v>
      </c>
      <c r="N16" s="36" t="s">
        <v>137</v>
      </c>
      <c r="O16" s="36" t="s">
        <v>137</v>
      </c>
      <c r="P16" s="33" t="s">
        <v>138</v>
      </c>
      <c r="Q16" s="33" t="s">
        <v>190</v>
      </c>
      <c r="R16" s="33" t="s">
        <v>182</v>
      </c>
      <c r="S16" s="33" t="s">
        <v>153</v>
      </c>
      <c r="T16" s="33" t="s">
        <v>142</v>
      </c>
      <c r="U16" s="33" t="s">
        <v>168</v>
      </c>
      <c r="V16" s="37">
        <v>2</v>
      </c>
      <c r="W16" s="37">
        <v>2</v>
      </c>
      <c r="X16" s="37">
        <v>2</v>
      </c>
      <c r="Y16" s="37">
        <v>2</v>
      </c>
      <c r="Z16" s="37">
        <v>3</v>
      </c>
      <c r="AA16" s="37">
        <v>2</v>
      </c>
      <c r="AB16" s="38">
        <f t="shared" si="0"/>
        <v>13</v>
      </c>
      <c r="AC16" s="39" t="s">
        <v>192</v>
      </c>
    </row>
    <row r="17" spans="1:29" ht="67.5" customHeight="1" x14ac:dyDescent="0.2">
      <c r="A17" s="32" t="s">
        <v>225</v>
      </c>
      <c r="B17" s="33" t="s">
        <v>226</v>
      </c>
      <c r="C17" s="41" t="s">
        <v>227</v>
      </c>
      <c r="D17" s="33" t="s">
        <v>228</v>
      </c>
      <c r="E17" s="33" t="s">
        <v>132</v>
      </c>
      <c r="F17" s="33" t="s">
        <v>133</v>
      </c>
      <c r="G17" s="33" t="s">
        <v>225</v>
      </c>
      <c r="H17" s="33" t="s">
        <v>229</v>
      </c>
      <c r="I17" s="35" t="s">
        <v>136</v>
      </c>
      <c r="J17" s="35" t="s">
        <v>136</v>
      </c>
      <c r="K17" s="36" t="s">
        <v>137</v>
      </c>
      <c r="L17" s="35" t="s">
        <v>136</v>
      </c>
      <c r="M17" s="35" t="s">
        <v>136</v>
      </c>
      <c r="N17" s="36" t="s">
        <v>137</v>
      </c>
      <c r="O17" s="36" t="s">
        <v>137</v>
      </c>
      <c r="P17" s="33" t="s">
        <v>152</v>
      </c>
      <c r="Q17" s="33" t="s">
        <v>139</v>
      </c>
      <c r="R17" s="33" t="s">
        <v>140</v>
      </c>
      <c r="S17" s="33" t="s">
        <v>153</v>
      </c>
      <c r="T17" s="33" t="s">
        <v>191</v>
      </c>
      <c r="U17" s="33" t="s">
        <v>143</v>
      </c>
      <c r="V17" s="37">
        <v>3</v>
      </c>
      <c r="W17" s="37">
        <v>3</v>
      </c>
      <c r="X17" s="37">
        <v>3</v>
      </c>
      <c r="Y17" s="37">
        <v>2</v>
      </c>
      <c r="Z17" s="37">
        <v>2</v>
      </c>
      <c r="AA17" s="37">
        <v>3</v>
      </c>
      <c r="AB17" s="38">
        <f t="shared" si="0"/>
        <v>16</v>
      </c>
      <c r="AC17" s="39" t="s">
        <v>144</v>
      </c>
    </row>
    <row r="18" spans="1:29" ht="67.5" customHeight="1" x14ac:dyDescent="0.2">
      <c r="A18" s="32" t="s">
        <v>230</v>
      </c>
      <c r="B18" s="33" t="s">
        <v>231</v>
      </c>
      <c r="C18" s="41" t="s">
        <v>232</v>
      </c>
      <c r="D18" s="33" t="s">
        <v>178</v>
      </c>
      <c r="E18" s="33" t="s">
        <v>233</v>
      </c>
      <c r="F18" s="33" t="s">
        <v>133</v>
      </c>
      <c r="G18" s="33" t="s">
        <v>234</v>
      </c>
      <c r="H18" s="33" t="s">
        <v>235</v>
      </c>
      <c r="I18" s="35" t="s">
        <v>136</v>
      </c>
      <c r="J18" s="35" t="s">
        <v>136</v>
      </c>
      <c r="K18" s="36" t="s">
        <v>137</v>
      </c>
      <c r="L18" s="36" t="s">
        <v>137</v>
      </c>
      <c r="M18" s="36" t="s">
        <v>137</v>
      </c>
      <c r="N18" s="36" t="s">
        <v>137</v>
      </c>
      <c r="O18" s="36" t="s">
        <v>137</v>
      </c>
      <c r="P18" s="33" t="s">
        <v>152</v>
      </c>
      <c r="Q18" s="33" t="s">
        <v>190</v>
      </c>
      <c r="R18" s="33" t="s">
        <v>182</v>
      </c>
      <c r="S18" s="33" t="s">
        <v>153</v>
      </c>
      <c r="T18" s="33" t="s">
        <v>191</v>
      </c>
      <c r="U18" s="33" t="s">
        <v>168</v>
      </c>
      <c r="V18" s="37">
        <v>3</v>
      </c>
      <c r="W18" s="37">
        <v>2</v>
      </c>
      <c r="X18" s="37">
        <v>2</v>
      </c>
      <c r="Y18" s="37">
        <v>2</v>
      </c>
      <c r="Z18" s="37">
        <v>2</v>
      </c>
      <c r="AA18" s="37">
        <v>2</v>
      </c>
      <c r="AB18" s="38">
        <f t="shared" si="0"/>
        <v>13</v>
      </c>
      <c r="AC18" s="39" t="s">
        <v>192</v>
      </c>
    </row>
    <row r="19" spans="1:29" ht="67.5" customHeight="1" x14ac:dyDescent="0.2">
      <c r="A19" s="32" t="s">
        <v>236</v>
      </c>
      <c r="B19" s="33" t="s">
        <v>237</v>
      </c>
      <c r="C19" s="41" t="s">
        <v>238</v>
      </c>
      <c r="D19" s="33" t="s">
        <v>239</v>
      </c>
      <c r="E19" s="33" t="s">
        <v>240</v>
      </c>
      <c r="F19" s="33" t="s">
        <v>133</v>
      </c>
      <c r="G19" s="33" t="s">
        <v>241</v>
      </c>
      <c r="H19" s="33" t="s">
        <v>242</v>
      </c>
      <c r="I19" s="35" t="s">
        <v>136</v>
      </c>
      <c r="J19" s="35" t="s">
        <v>136</v>
      </c>
      <c r="K19" s="36" t="s">
        <v>137</v>
      </c>
      <c r="L19" s="36" t="s">
        <v>137</v>
      </c>
      <c r="M19" s="35" t="s">
        <v>136</v>
      </c>
      <c r="N19" s="36" t="s">
        <v>137</v>
      </c>
      <c r="O19" s="36" t="s">
        <v>137</v>
      </c>
      <c r="P19" s="33" t="s">
        <v>138</v>
      </c>
      <c r="Q19" s="33" t="s">
        <v>190</v>
      </c>
      <c r="R19" s="33" t="s">
        <v>182</v>
      </c>
      <c r="S19" s="33" t="s">
        <v>153</v>
      </c>
      <c r="T19" s="33" t="s">
        <v>243</v>
      </c>
      <c r="U19" s="33" t="s">
        <v>168</v>
      </c>
      <c r="V19" s="37">
        <v>2</v>
      </c>
      <c r="W19" s="37">
        <v>2</v>
      </c>
      <c r="X19" s="37">
        <v>2</v>
      </c>
      <c r="Y19" s="37">
        <v>2</v>
      </c>
      <c r="Z19" s="37">
        <v>1</v>
      </c>
      <c r="AA19" s="37">
        <v>2</v>
      </c>
      <c r="AB19" s="38">
        <f t="shared" si="0"/>
        <v>11</v>
      </c>
      <c r="AC19" s="39" t="s">
        <v>192</v>
      </c>
    </row>
    <row r="20" spans="1:29" ht="67.5" customHeight="1" x14ac:dyDescent="0.2">
      <c r="A20" s="32" t="s">
        <v>244</v>
      </c>
      <c r="B20" s="33" t="s">
        <v>245</v>
      </c>
      <c r="C20" s="41" t="s">
        <v>246</v>
      </c>
      <c r="D20" s="33" t="s">
        <v>247</v>
      </c>
      <c r="E20" s="33" t="s">
        <v>149</v>
      </c>
      <c r="F20" s="33" t="s">
        <v>133</v>
      </c>
      <c r="G20" s="33" t="s">
        <v>248</v>
      </c>
      <c r="H20" s="33" t="s">
        <v>249</v>
      </c>
      <c r="I20" s="35" t="s">
        <v>136</v>
      </c>
      <c r="J20" s="36" t="s">
        <v>137</v>
      </c>
      <c r="K20" s="36" t="s">
        <v>137</v>
      </c>
      <c r="L20" s="35" t="s">
        <v>136</v>
      </c>
      <c r="M20" s="36" t="s">
        <v>137</v>
      </c>
      <c r="N20" s="36" t="s">
        <v>137</v>
      </c>
      <c r="O20" s="36" t="s">
        <v>137</v>
      </c>
      <c r="P20" s="33" t="s">
        <v>250</v>
      </c>
      <c r="Q20" s="33" t="s">
        <v>251</v>
      </c>
      <c r="R20" s="33" t="s">
        <v>252</v>
      </c>
      <c r="S20" s="33" t="s">
        <v>153</v>
      </c>
      <c r="T20" s="33" t="s">
        <v>243</v>
      </c>
      <c r="U20" s="33" t="s">
        <v>168</v>
      </c>
      <c r="V20" s="37">
        <v>1</v>
      </c>
      <c r="W20" s="37">
        <v>1</v>
      </c>
      <c r="X20" s="37">
        <v>1</v>
      </c>
      <c r="Y20" s="37">
        <v>2</v>
      </c>
      <c r="Z20" s="37">
        <v>1</v>
      </c>
      <c r="AA20" s="37">
        <v>2</v>
      </c>
      <c r="AB20" s="38">
        <f t="shared" si="0"/>
        <v>8</v>
      </c>
      <c r="AC20" s="39" t="s">
        <v>253</v>
      </c>
    </row>
    <row r="21" spans="1:29" ht="67.5" customHeight="1" x14ac:dyDescent="0.2">
      <c r="A21" s="32" t="s">
        <v>254</v>
      </c>
      <c r="B21" s="33" t="s">
        <v>255</v>
      </c>
      <c r="C21" s="41" t="s">
        <v>256</v>
      </c>
      <c r="D21" s="33" t="s">
        <v>257</v>
      </c>
      <c r="E21" s="33" t="s">
        <v>132</v>
      </c>
      <c r="F21" s="33" t="s">
        <v>133</v>
      </c>
      <c r="G21" s="33" t="s">
        <v>258</v>
      </c>
      <c r="H21" s="33" t="s">
        <v>259</v>
      </c>
      <c r="I21" s="35" t="s">
        <v>136</v>
      </c>
      <c r="J21" s="36" t="s">
        <v>137</v>
      </c>
      <c r="K21" s="36" t="s">
        <v>137</v>
      </c>
      <c r="L21" s="35" t="s">
        <v>136</v>
      </c>
      <c r="M21" s="36" t="s">
        <v>137</v>
      </c>
      <c r="N21" s="36" t="s">
        <v>137</v>
      </c>
      <c r="O21" s="36" t="s">
        <v>137</v>
      </c>
      <c r="P21" s="33" t="s">
        <v>152</v>
      </c>
      <c r="Q21" s="33" t="s">
        <v>139</v>
      </c>
      <c r="R21" s="33" t="s">
        <v>140</v>
      </c>
      <c r="S21" s="33" t="s">
        <v>141</v>
      </c>
      <c r="T21" s="33" t="s">
        <v>142</v>
      </c>
      <c r="U21" s="33" t="s">
        <v>168</v>
      </c>
      <c r="V21" s="37">
        <v>3</v>
      </c>
      <c r="W21" s="37">
        <v>3</v>
      </c>
      <c r="X21" s="37">
        <v>3</v>
      </c>
      <c r="Y21" s="37">
        <v>3</v>
      </c>
      <c r="Z21" s="37">
        <v>3</v>
      </c>
      <c r="AA21" s="37">
        <v>2</v>
      </c>
      <c r="AB21" s="38">
        <f t="shared" si="0"/>
        <v>17</v>
      </c>
      <c r="AC21" s="39" t="s">
        <v>144</v>
      </c>
    </row>
    <row r="22" spans="1:29" ht="67.5" customHeight="1" x14ac:dyDescent="0.2">
      <c r="A22" s="32" t="s">
        <v>260</v>
      </c>
      <c r="B22" s="33" t="s">
        <v>261</v>
      </c>
      <c r="C22" s="41" t="s">
        <v>262</v>
      </c>
      <c r="D22" s="33" t="s">
        <v>263</v>
      </c>
      <c r="E22" s="33" t="s">
        <v>149</v>
      </c>
      <c r="F22" s="33" t="s">
        <v>133</v>
      </c>
      <c r="G22" s="33" t="s">
        <v>264</v>
      </c>
      <c r="H22" s="33" t="s">
        <v>265</v>
      </c>
      <c r="I22" s="35" t="s">
        <v>136</v>
      </c>
      <c r="J22" s="36" t="s">
        <v>137</v>
      </c>
      <c r="K22" s="36" t="s">
        <v>137</v>
      </c>
      <c r="L22" s="35" t="s">
        <v>136</v>
      </c>
      <c r="M22" s="36" t="s">
        <v>137</v>
      </c>
      <c r="N22" s="36" t="s">
        <v>137</v>
      </c>
      <c r="O22" s="36" t="s">
        <v>137</v>
      </c>
      <c r="P22" s="33" t="s">
        <v>138</v>
      </c>
      <c r="Q22" s="33" t="s">
        <v>190</v>
      </c>
      <c r="R22" s="33" t="s">
        <v>182</v>
      </c>
      <c r="S22" s="33" t="s">
        <v>141</v>
      </c>
      <c r="T22" s="33" t="s">
        <v>142</v>
      </c>
      <c r="U22" s="33" t="s">
        <v>168</v>
      </c>
      <c r="V22" s="37">
        <v>2</v>
      </c>
      <c r="W22" s="37">
        <v>2</v>
      </c>
      <c r="X22" s="37">
        <v>2</v>
      </c>
      <c r="Y22" s="37">
        <v>3</v>
      </c>
      <c r="Z22" s="37">
        <v>3</v>
      </c>
      <c r="AA22" s="37">
        <v>2</v>
      </c>
      <c r="AB22" s="38">
        <f t="shared" si="0"/>
        <v>14</v>
      </c>
      <c r="AC22" s="39" t="s">
        <v>192</v>
      </c>
    </row>
    <row r="23" spans="1:29" ht="67.5" customHeight="1" x14ac:dyDescent="0.2">
      <c r="A23" s="32" t="s">
        <v>266</v>
      </c>
      <c r="B23" s="33" t="s">
        <v>267</v>
      </c>
      <c r="C23" s="41" t="s">
        <v>268</v>
      </c>
      <c r="D23" s="33" t="s">
        <v>269</v>
      </c>
      <c r="E23" s="33" t="s">
        <v>208</v>
      </c>
      <c r="F23" s="33" t="s">
        <v>133</v>
      </c>
      <c r="G23" s="33" t="s">
        <v>270</v>
      </c>
      <c r="H23" s="33" t="s">
        <v>271</v>
      </c>
      <c r="I23" s="35" t="s">
        <v>136</v>
      </c>
      <c r="J23" s="36" t="s">
        <v>137</v>
      </c>
      <c r="K23" s="36" t="s">
        <v>137</v>
      </c>
      <c r="L23" s="35" t="s">
        <v>136</v>
      </c>
      <c r="M23" s="36" t="s">
        <v>137</v>
      </c>
      <c r="N23" s="36" t="s">
        <v>137</v>
      </c>
      <c r="O23" s="36" t="s">
        <v>137</v>
      </c>
      <c r="P23" s="33" t="s">
        <v>152</v>
      </c>
      <c r="Q23" s="33" t="s">
        <v>139</v>
      </c>
      <c r="R23" s="33" t="s">
        <v>140</v>
      </c>
      <c r="S23" s="33" t="s">
        <v>153</v>
      </c>
      <c r="T23" s="33" t="s">
        <v>142</v>
      </c>
      <c r="U23" s="33" t="s">
        <v>143</v>
      </c>
      <c r="V23" s="37">
        <v>3</v>
      </c>
      <c r="W23" s="37">
        <v>3</v>
      </c>
      <c r="X23" s="37">
        <v>3</v>
      </c>
      <c r="Y23" s="37">
        <v>2</v>
      </c>
      <c r="Z23" s="37">
        <v>3</v>
      </c>
      <c r="AA23" s="37">
        <v>3</v>
      </c>
      <c r="AB23" s="38">
        <f t="shared" si="0"/>
        <v>17</v>
      </c>
      <c r="AC23" s="39" t="s">
        <v>144</v>
      </c>
    </row>
    <row r="24" spans="1:29" ht="67.5" customHeight="1" x14ac:dyDescent="0.2">
      <c r="A24" s="32" t="s">
        <v>272</v>
      </c>
      <c r="B24" s="33" t="s">
        <v>273</v>
      </c>
      <c r="C24" s="41" t="s">
        <v>274</v>
      </c>
      <c r="D24" s="33" t="s">
        <v>196</v>
      </c>
      <c r="E24" s="33" t="s">
        <v>275</v>
      </c>
      <c r="F24" s="33" t="s">
        <v>133</v>
      </c>
      <c r="G24" s="33" t="s">
        <v>276</v>
      </c>
      <c r="H24" s="33" t="s">
        <v>277</v>
      </c>
      <c r="I24" s="35" t="s">
        <v>136</v>
      </c>
      <c r="J24" s="35" t="s">
        <v>136</v>
      </c>
      <c r="K24" s="35" t="s">
        <v>136</v>
      </c>
      <c r="L24" s="36" t="s">
        <v>137</v>
      </c>
      <c r="M24" s="36" t="s">
        <v>137</v>
      </c>
      <c r="N24" s="36" t="s">
        <v>137</v>
      </c>
      <c r="O24" s="36" t="s">
        <v>137</v>
      </c>
      <c r="P24" s="33" t="s">
        <v>152</v>
      </c>
      <c r="Q24" s="33" t="s">
        <v>139</v>
      </c>
      <c r="R24" s="33" t="s">
        <v>140</v>
      </c>
      <c r="S24" s="33" t="s">
        <v>141</v>
      </c>
      <c r="T24" s="33" t="s">
        <v>142</v>
      </c>
      <c r="U24" s="33" t="s">
        <v>143</v>
      </c>
      <c r="V24" s="37">
        <v>3</v>
      </c>
      <c r="W24" s="37">
        <v>3</v>
      </c>
      <c r="X24" s="37">
        <v>3</v>
      </c>
      <c r="Y24" s="37">
        <v>3</v>
      </c>
      <c r="Z24" s="37">
        <v>3</v>
      </c>
      <c r="AA24" s="37">
        <v>3</v>
      </c>
      <c r="AB24" s="38">
        <f t="shared" si="0"/>
        <v>18</v>
      </c>
      <c r="AC24" s="39" t="s">
        <v>144</v>
      </c>
    </row>
    <row r="25" spans="1:29" ht="67.5" customHeight="1" x14ac:dyDescent="0.2">
      <c r="A25" s="32" t="s">
        <v>278</v>
      </c>
      <c r="B25" s="33" t="s">
        <v>279</v>
      </c>
      <c r="C25" s="34" t="s">
        <v>280</v>
      </c>
      <c r="D25" s="33" t="s">
        <v>281</v>
      </c>
      <c r="E25" s="33" t="s">
        <v>282</v>
      </c>
      <c r="F25" s="33" t="s">
        <v>133</v>
      </c>
      <c r="G25" s="33" t="s">
        <v>283</v>
      </c>
      <c r="H25" s="33" t="s">
        <v>284</v>
      </c>
      <c r="I25" s="35" t="s">
        <v>136</v>
      </c>
      <c r="J25" s="36" t="s">
        <v>137</v>
      </c>
      <c r="K25" s="36" t="s">
        <v>137</v>
      </c>
      <c r="L25" s="36" t="s">
        <v>137</v>
      </c>
      <c r="M25" s="36" t="s">
        <v>137</v>
      </c>
      <c r="N25" s="36" t="s">
        <v>137</v>
      </c>
      <c r="O25" s="36" t="s">
        <v>137</v>
      </c>
      <c r="P25" s="33" t="s">
        <v>152</v>
      </c>
      <c r="Q25" s="33" t="s">
        <v>190</v>
      </c>
      <c r="R25" s="33" t="s">
        <v>252</v>
      </c>
      <c r="S25" s="33" t="s">
        <v>153</v>
      </c>
      <c r="T25" s="33" t="s">
        <v>142</v>
      </c>
      <c r="U25" s="33" t="s">
        <v>168</v>
      </c>
      <c r="V25" s="37">
        <v>3</v>
      </c>
      <c r="W25" s="37">
        <v>2</v>
      </c>
      <c r="X25" s="37">
        <v>1</v>
      </c>
      <c r="Y25" s="37">
        <v>2</v>
      </c>
      <c r="Z25" s="37">
        <v>3</v>
      </c>
      <c r="AA25" s="37">
        <v>2</v>
      </c>
      <c r="AB25" s="38">
        <f t="shared" si="0"/>
        <v>13</v>
      </c>
      <c r="AC25" s="39" t="s">
        <v>192</v>
      </c>
    </row>
  </sheetData>
  <autoFilter ref="A4:AC25" xr:uid="{00000000-0009-0000-0000-000001000000}"/>
  <mergeCells count="6">
    <mergeCell ref="A1:AC1"/>
    <mergeCell ref="A2:AC2"/>
    <mergeCell ref="A3:H3"/>
    <mergeCell ref="I3:O3"/>
    <mergeCell ref="P3:U3"/>
    <mergeCell ref="V3:AC3"/>
  </mergeCells>
  <dataValidations count="7">
    <dataValidation type="list" allowBlank="1" sqref="I5:O366" xr:uid="{00000000-0002-0000-0100-000000000000}">
      <formula1>"Yes,No"</formula1>
      <formula2>0</formula2>
    </dataValidation>
    <dataValidation type="list" allowBlank="1" sqref="P5:P366" xr:uid="{00000000-0002-0000-0100-000001000000}">
      <formula1>"High – Long-established Event (10+ years),Medium – Established Event (3–9 years),Low – New / Emerging Event (&lt;3 years)"</formula1>
      <formula2>0</formula2>
    </dataValidation>
    <dataValidation type="list" allowBlank="1" sqref="Q5:Q366" xr:uid="{00000000-0002-0000-0100-000002000000}">
      <formula1>"High – International Recognition,Medium – Sector/National Recognition,Low – Emerging/Niche Recognition"</formula1>
      <formula2>0</formula2>
    </dataValidation>
    <dataValidation type="list" allowBlank="1" sqref="R5:R366" xr:uid="{00000000-0002-0000-0100-000003000000}">
      <formula1>"High – Large Event (1,000+ participants),Medium – Mid-size Event (300–1,000 participants),Low – Small Event (&lt;300 participants)"</formula1>
      <formula2>0</formula2>
    </dataValidation>
    <dataValidation type="list" allowBlank="1" sqref="S5:S366" xr:uid="{00000000-0002-0000-0100-000004000000}">
      <formula1>"High – Senior Leaders / Decision-Makers,Medium – Field Experts / Professionals,Low – Emerging / General Profiles"</formula1>
      <formula2>0</formula2>
    </dataValidation>
    <dataValidation type="list" allowBlank="1" sqref="T5:T366" xr:uid="{00000000-0002-0000-0100-000005000000}">
      <formula1>"High – Global / Leading Organization,Medium – Established Sector Organization,Low – Emerging / Independent Organizer"</formula1>
      <formula2>0</formula2>
    </dataValidation>
    <dataValidation type="list" allowBlank="1" sqref="U5:U366" xr:uid="{00000000-0002-0000-0100-000006000000}">
      <formula1>"High – Global Reach,Medium – National / Regional Reach,Low – Local Reach"</formula1>
      <formula2>0</formula2>
    </dataValidation>
  </dataValidations>
  <hyperlinks>
    <hyperlink ref="C5" r:id="rId1" xr:uid="{00000000-0004-0000-0100-000000000000}"/>
    <hyperlink ref="C6" r:id="rId2" xr:uid="{00000000-0004-0000-0100-000001000000}"/>
    <hyperlink ref="C7" r:id="rId3" xr:uid="{00000000-0004-0000-0100-000002000000}"/>
    <hyperlink ref="C8" r:id="rId4" xr:uid="{00000000-0004-0000-0100-000003000000}"/>
    <hyperlink ref="C9" r:id="rId5" xr:uid="{00000000-0004-0000-0100-000004000000}"/>
    <hyperlink ref="C13" r:id="rId6" xr:uid="{00000000-0004-0000-0100-000005000000}"/>
    <hyperlink ref="C15" r:id="rId7" xr:uid="{00000000-0004-0000-0100-000006000000}"/>
    <hyperlink ref="C25" r:id="rId8" xr:uid="{00000000-0004-0000-0100-000007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sheetPr>
  <dimension ref="A1:AC14"/>
  <sheetViews>
    <sheetView zoomScale="85" zoomScaleNormal="85" workbookViewId="0">
      <pane xSplit="1" ySplit="4" topLeftCell="B5" activePane="bottomRight" state="frozen"/>
      <selection pane="topRight" activeCell="B1" sqref="B1"/>
      <selection pane="bottomLeft" activeCell="A5" sqref="A5"/>
      <selection pane="bottomRight" activeCell="A5" sqref="A5"/>
    </sheetView>
  </sheetViews>
  <sheetFormatPr baseColWidth="10" defaultColWidth="10.6640625" defaultRowHeight="15" x14ac:dyDescent="0.2"/>
  <cols>
    <col min="1" max="1" width="32" customWidth="1"/>
    <col min="2" max="2" width="46" customWidth="1"/>
    <col min="3" max="3" width="24" customWidth="1"/>
    <col min="4" max="4" width="20" customWidth="1"/>
    <col min="5" max="5" width="12" customWidth="1"/>
    <col min="6" max="6" width="11" customWidth="1"/>
    <col min="7" max="7" width="24" customWidth="1"/>
    <col min="8" max="8" width="32" customWidth="1"/>
    <col min="9" max="15" width="11" customWidth="1"/>
    <col min="16" max="21" width="24" customWidth="1"/>
    <col min="22" max="27" width="8.5" customWidth="1"/>
    <col min="28" max="28" width="9" customWidth="1"/>
    <col min="29" max="29" width="24" customWidth="1"/>
  </cols>
  <sheetData>
    <row r="1" spans="1:29" ht="33.75" customHeight="1" x14ac:dyDescent="0.2">
      <c r="A1" s="13" t="s">
        <v>98</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row>
    <row r="2" spans="1:29" ht="19.5" customHeight="1" x14ac:dyDescent="0.2">
      <c r="A2" s="12" t="s">
        <v>99</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row>
    <row r="3" spans="1:29" ht="19.5" customHeight="1" x14ac:dyDescent="0.2">
      <c r="A3" s="11" t="s">
        <v>100</v>
      </c>
      <c r="B3" s="11"/>
      <c r="C3" s="11"/>
      <c r="D3" s="11"/>
      <c r="E3" s="11"/>
      <c r="F3" s="11"/>
      <c r="G3" s="11"/>
      <c r="H3" s="11"/>
      <c r="I3" s="11" t="s">
        <v>101</v>
      </c>
      <c r="J3" s="11"/>
      <c r="K3" s="11"/>
      <c r="L3" s="11"/>
      <c r="M3" s="11"/>
      <c r="N3" s="11"/>
      <c r="O3" s="11"/>
      <c r="P3" s="10" t="s">
        <v>102</v>
      </c>
      <c r="Q3" s="10"/>
      <c r="R3" s="10"/>
      <c r="S3" s="10"/>
      <c r="T3" s="10"/>
      <c r="U3" s="10"/>
      <c r="V3" s="9" t="s">
        <v>103</v>
      </c>
      <c r="W3" s="9"/>
      <c r="X3" s="9"/>
      <c r="Y3" s="9"/>
      <c r="Z3" s="9"/>
      <c r="AA3" s="9"/>
      <c r="AB3" s="9"/>
      <c r="AC3" s="9"/>
    </row>
    <row r="4" spans="1:29" ht="43.5" customHeight="1" x14ac:dyDescent="0.2">
      <c r="A4" s="28" t="s">
        <v>2</v>
      </c>
      <c r="B4" s="28" t="s">
        <v>4</v>
      </c>
      <c r="C4" s="28" t="s">
        <v>104</v>
      </c>
      <c r="D4" s="28" t="s">
        <v>5</v>
      </c>
      <c r="E4" s="28" t="s">
        <v>105</v>
      </c>
      <c r="F4" s="28" t="s">
        <v>106</v>
      </c>
      <c r="G4" s="28" t="s">
        <v>7</v>
      </c>
      <c r="H4" s="28" t="s">
        <v>9</v>
      </c>
      <c r="I4" s="28" t="s">
        <v>107</v>
      </c>
      <c r="J4" s="28" t="s">
        <v>108</v>
      </c>
      <c r="K4" s="28" t="s">
        <v>109</v>
      </c>
      <c r="L4" s="28" t="s">
        <v>110</v>
      </c>
      <c r="M4" s="28" t="s">
        <v>111</v>
      </c>
      <c r="N4" s="28" t="s">
        <v>112</v>
      </c>
      <c r="O4" s="28" t="s">
        <v>113</v>
      </c>
      <c r="P4" s="29" t="s">
        <v>114</v>
      </c>
      <c r="Q4" s="29" t="s">
        <v>115</v>
      </c>
      <c r="R4" s="29" t="s">
        <v>116</v>
      </c>
      <c r="S4" s="29" t="s">
        <v>117</v>
      </c>
      <c r="T4" s="29" t="s">
        <v>118</v>
      </c>
      <c r="U4" s="29" t="s">
        <v>119</v>
      </c>
      <c r="V4" s="30" t="s">
        <v>120</v>
      </c>
      <c r="W4" s="30" t="s">
        <v>121</v>
      </c>
      <c r="X4" s="30" t="s">
        <v>122</v>
      </c>
      <c r="Y4" s="30" t="s">
        <v>123</v>
      </c>
      <c r="Z4" s="30" t="s">
        <v>124</v>
      </c>
      <c r="AA4" s="30" t="s">
        <v>125</v>
      </c>
      <c r="AB4" s="31" t="s">
        <v>126</v>
      </c>
      <c r="AC4" s="31" t="s">
        <v>127</v>
      </c>
    </row>
    <row r="5" spans="1:29" ht="67.5" customHeight="1" x14ac:dyDescent="0.2">
      <c r="A5" s="32" t="s">
        <v>285</v>
      </c>
      <c r="B5" s="33" t="s">
        <v>286</v>
      </c>
      <c r="C5" s="41" t="s">
        <v>287</v>
      </c>
      <c r="D5" s="33" t="s">
        <v>257</v>
      </c>
      <c r="E5" s="33" t="s">
        <v>165</v>
      </c>
      <c r="F5" s="33" t="s">
        <v>133</v>
      </c>
      <c r="G5" s="33" t="s">
        <v>288</v>
      </c>
      <c r="H5" s="33" t="s">
        <v>289</v>
      </c>
      <c r="I5" s="36" t="s">
        <v>137</v>
      </c>
      <c r="J5" s="35" t="s">
        <v>136</v>
      </c>
      <c r="K5" s="36" t="s">
        <v>137</v>
      </c>
      <c r="L5" s="36" t="s">
        <v>137</v>
      </c>
      <c r="M5" s="35" t="s">
        <v>136</v>
      </c>
      <c r="N5" s="36" t="s">
        <v>137</v>
      </c>
      <c r="O5" s="36" t="s">
        <v>137</v>
      </c>
      <c r="P5" s="33" t="s">
        <v>152</v>
      </c>
      <c r="Q5" s="33" t="s">
        <v>139</v>
      </c>
      <c r="R5" s="33" t="s">
        <v>140</v>
      </c>
      <c r="S5" s="33" t="s">
        <v>141</v>
      </c>
      <c r="T5" s="33" t="s">
        <v>142</v>
      </c>
      <c r="U5" s="33" t="s">
        <v>143</v>
      </c>
      <c r="V5" s="37">
        <v>3</v>
      </c>
      <c r="W5" s="37">
        <v>3</v>
      </c>
      <c r="X5" s="37">
        <v>3</v>
      </c>
      <c r="Y5" s="37">
        <v>3</v>
      </c>
      <c r="Z5" s="37">
        <v>3</v>
      </c>
      <c r="AA5" s="37">
        <v>3</v>
      </c>
      <c r="AB5" s="38">
        <f t="shared" ref="AB5:AB14" si="0">SUM(V5:AA5)</f>
        <v>18</v>
      </c>
      <c r="AC5" s="39" t="s">
        <v>144</v>
      </c>
    </row>
    <row r="6" spans="1:29" ht="67.5" customHeight="1" x14ac:dyDescent="0.2">
      <c r="A6" s="32" t="s">
        <v>290</v>
      </c>
      <c r="B6" s="33" t="s">
        <v>291</v>
      </c>
      <c r="C6" s="41" t="s">
        <v>292</v>
      </c>
      <c r="D6" s="33" t="s">
        <v>293</v>
      </c>
      <c r="E6" s="33" t="s">
        <v>187</v>
      </c>
      <c r="F6" s="33" t="s">
        <v>133</v>
      </c>
      <c r="G6" s="33" t="s">
        <v>294</v>
      </c>
      <c r="H6" s="33" t="s">
        <v>295</v>
      </c>
      <c r="I6" s="36" t="s">
        <v>137</v>
      </c>
      <c r="J6" s="35" t="s">
        <v>136</v>
      </c>
      <c r="K6" s="36" t="s">
        <v>137</v>
      </c>
      <c r="L6" s="36" t="s">
        <v>137</v>
      </c>
      <c r="M6" s="36" t="s">
        <v>137</v>
      </c>
      <c r="N6" s="36" t="s">
        <v>137</v>
      </c>
      <c r="O6" s="36" t="s">
        <v>137</v>
      </c>
      <c r="P6" s="33" t="s">
        <v>152</v>
      </c>
      <c r="Q6" s="33" t="s">
        <v>139</v>
      </c>
      <c r="R6" s="33" t="s">
        <v>140</v>
      </c>
      <c r="S6" s="33" t="s">
        <v>141</v>
      </c>
      <c r="T6" s="33" t="s">
        <v>142</v>
      </c>
      <c r="U6" s="33" t="s">
        <v>143</v>
      </c>
      <c r="V6" s="37">
        <v>3</v>
      </c>
      <c r="W6" s="37">
        <v>3</v>
      </c>
      <c r="X6" s="37">
        <v>3</v>
      </c>
      <c r="Y6" s="37">
        <v>3</v>
      </c>
      <c r="Z6" s="37">
        <v>3</v>
      </c>
      <c r="AA6" s="37">
        <v>3</v>
      </c>
      <c r="AB6" s="38">
        <f t="shared" si="0"/>
        <v>18</v>
      </c>
      <c r="AC6" s="39" t="s">
        <v>144</v>
      </c>
    </row>
    <row r="7" spans="1:29" ht="67.5" customHeight="1" x14ac:dyDescent="0.2">
      <c r="A7" s="32" t="s">
        <v>296</v>
      </c>
      <c r="B7" s="33" t="s">
        <v>297</v>
      </c>
      <c r="C7" s="41" t="s">
        <v>298</v>
      </c>
      <c r="D7" s="33" t="s">
        <v>178</v>
      </c>
      <c r="E7" s="33" t="s">
        <v>299</v>
      </c>
      <c r="F7" s="33" t="s">
        <v>133</v>
      </c>
      <c r="G7" s="33" t="s">
        <v>294</v>
      </c>
      <c r="H7" s="33" t="s">
        <v>300</v>
      </c>
      <c r="I7" s="36" t="s">
        <v>137</v>
      </c>
      <c r="J7" s="35" t="s">
        <v>136</v>
      </c>
      <c r="K7" s="36" t="s">
        <v>137</v>
      </c>
      <c r="L7" s="36" t="s">
        <v>137</v>
      </c>
      <c r="M7" s="36" t="s">
        <v>137</v>
      </c>
      <c r="N7" s="36" t="s">
        <v>137</v>
      </c>
      <c r="O7" s="36" t="s">
        <v>137</v>
      </c>
      <c r="P7" s="33" t="s">
        <v>152</v>
      </c>
      <c r="Q7" s="33" t="s">
        <v>190</v>
      </c>
      <c r="R7" s="33" t="s">
        <v>182</v>
      </c>
      <c r="S7" s="33" t="s">
        <v>153</v>
      </c>
      <c r="T7" s="33" t="s">
        <v>142</v>
      </c>
      <c r="U7" s="33" t="s">
        <v>168</v>
      </c>
      <c r="V7" s="37">
        <v>3</v>
      </c>
      <c r="W7" s="37">
        <v>2</v>
      </c>
      <c r="X7" s="37">
        <v>2</v>
      </c>
      <c r="Y7" s="37">
        <v>2</v>
      </c>
      <c r="Z7" s="37">
        <v>3</v>
      </c>
      <c r="AA7" s="37">
        <v>2</v>
      </c>
      <c r="AB7" s="38">
        <f t="shared" si="0"/>
        <v>14</v>
      </c>
      <c r="AC7" s="39" t="s">
        <v>192</v>
      </c>
    </row>
    <row r="8" spans="1:29" ht="67.5" customHeight="1" x14ac:dyDescent="0.2">
      <c r="A8" s="32" t="s">
        <v>301</v>
      </c>
      <c r="B8" s="33" t="s">
        <v>302</v>
      </c>
      <c r="C8" s="34" t="s">
        <v>303</v>
      </c>
      <c r="D8" s="33" t="s">
        <v>164</v>
      </c>
      <c r="E8" s="33" t="s">
        <v>132</v>
      </c>
      <c r="F8" s="33" t="s">
        <v>133</v>
      </c>
      <c r="G8" s="33" t="s">
        <v>304</v>
      </c>
      <c r="H8" s="33" t="s">
        <v>305</v>
      </c>
      <c r="I8" s="35" t="s">
        <v>136</v>
      </c>
      <c r="J8" s="35" t="s">
        <v>136</v>
      </c>
      <c r="K8" s="36" t="s">
        <v>137</v>
      </c>
      <c r="L8" s="36" t="s">
        <v>137</v>
      </c>
      <c r="M8" s="36" t="s">
        <v>137</v>
      </c>
      <c r="N8" s="36" t="s">
        <v>137</v>
      </c>
      <c r="O8" s="36" t="s">
        <v>137</v>
      </c>
      <c r="P8" s="33" t="s">
        <v>152</v>
      </c>
      <c r="Q8" s="33" t="s">
        <v>139</v>
      </c>
      <c r="R8" s="33" t="s">
        <v>140</v>
      </c>
      <c r="S8" s="33" t="s">
        <v>141</v>
      </c>
      <c r="T8" s="33" t="s">
        <v>142</v>
      </c>
      <c r="U8" s="33" t="s">
        <v>143</v>
      </c>
      <c r="V8" s="37">
        <v>3</v>
      </c>
      <c r="W8" s="37">
        <v>3</v>
      </c>
      <c r="X8" s="37">
        <v>3</v>
      </c>
      <c r="Y8" s="37">
        <v>3</v>
      </c>
      <c r="Z8" s="37">
        <v>3</v>
      </c>
      <c r="AA8" s="37">
        <v>3</v>
      </c>
      <c r="AB8" s="38">
        <f t="shared" si="0"/>
        <v>18</v>
      </c>
      <c r="AC8" s="39" t="s">
        <v>144</v>
      </c>
    </row>
    <row r="9" spans="1:29" ht="67.5" customHeight="1" x14ac:dyDescent="0.2">
      <c r="A9" s="32" t="s">
        <v>306</v>
      </c>
      <c r="B9" s="33" t="s">
        <v>307</v>
      </c>
      <c r="C9" s="41" t="s">
        <v>308</v>
      </c>
      <c r="D9" s="33" t="s">
        <v>309</v>
      </c>
      <c r="E9" s="33" t="s">
        <v>149</v>
      </c>
      <c r="F9" s="33" t="s">
        <v>133</v>
      </c>
      <c r="G9" s="33" t="s">
        <v>310</v>
      </c>
      <c r="H9" s="33" t="s">
        <v>311</v>
      </c>
      <c r="I9" s="36" t="s">
        <v>137</v>
      </c>
      <c r="J9" s="35" t="s">
        <v>136</v>
      </c>
      <c r="K9" s="36" t="s">
        <v>137</v>
      </c>
      <c r="L9" s="35" t="s">
        <v>136</v>
      </c>
      <c r="M9" s="36" t="s">
        <v>137</v>
      </c>
      <c r="N9" s="36" t="s">
        <v>137</v>
      </c>
      <c r="O9" s="36" t="s">
        <v>137</v>
      </c>
      <c r="P9" s="33" t="s">
        <v>152</v>
      </c>
      <c r="Q9" s="33" t="s">
        <v>190</v>
      </c>
      <c r="R9" s="33" t="s">
        <v>182</v>
      </c>
      <c r="S9" s="33" t="s">
        <v>153</v>
      </c>
      <c r="T9" s="33" t="s">
        <v>142</v>
      </c>
      <c r="U9" s="33" t="s">
        <v>143</v>
      </c>
      <c r="V9" s="37">
        <v>3</v>
      </c>
      <c r="W9" s="37">
        <v>2</v>
      </c>
      <c r="X9" s="37">
        <v>2</v>
      </c>
      <c r="Y9" s="37">
        <v>2</v>
      </c>
      <c r="Z9" s="37">
        <v>3</v>
      </c>
      <c r="AA9" s="37">
        <v>3</v>
      </c>
      <c r="AB9" s="38">
        <f t="shared" si="0"/>
        <v>15</v>
      </c>
      <c r="AC9" s="39" t="s">
        <v>144</v>
      </c>
    </row>
    <row r="10" spans="1:29" ht="67.5" customHeight="1" x14ac:dyDescent="0.2">
      <c r="A10" s="32" t="s">
        <v>312</v>
      </c>
      <c r="B10" s="33" t="s">
        <v>313</v>
      </c>
      <c r="C10" s="41" t="s">
        <v>314</v>
      </c>
      <c r="D10" s="33" t="s">
        <v>293</v>
      </c>
      <c r="E10" s="33" t="s">
        <v>240</v>
      </c>
      <c r="F10" s="33" t="s">
        <v>133</v>
      </c>
      <c r="G10" s="33" t="s">
        <v>315</v>
      </c>
      <c r="H10" s="33" t="s">
        <v>316</v>
      </c>
      <c r="I10" s="36" t="s">
        <v>137</v>
      </c>
      <c r="J10" s="35" t="s">
        <v>136</v>
      </c>
      <c r="K10" s="36" t="s">
        <v>137</v>
      </c>
      <c r="L10" s="36" t="s">
        <v>137</v>
      </c>
      <c r="M10" s="36" t="s">
        <v>137</v>
      </c>
      <c r="N10" s="36" t="s">
        <v>137</v>
      </c>
      <c r="O10" s="36" t="s">
        <v>137</v>
      </c>
      <c r="P10" s="33" t="s">
        <v>152</v>
      </c>
      <c r="Q10" s="33" t="s">
        <v>139</v>
      </c>
      <c r="R10" s="33" t="s">
        <v>182</v>
      </c>
      <c r="S10" s="33" t="s">
        <v>141</v>
      </c>
      <c r="T10" s="33" t="s">
        <v>142</v>
      </c>
      <c r="U10" s="33" t="s">
        <v>168</v>
      </c>
      <c r="V10" s="37">
        <v>3</v>
      </c>
      <c r="W10" s="37">
        <v>3</v>
      </c>
      <c r="X10" s="37">
        <v>2</v>
      </c>
      <c r="Y10" s="37">
        <v>3</v>
      </c>
      <c r="Z10" s="37">
        <v>3</v>
      </c>
      <c r="AA10" s="37">
        <v>2</v>
      </c>
      <c r="AB10" s="38">
        <f t="shared" si="0"/>
        <v>16</v>
      </c>
      <c r="AC10" s="39" t="s">
        <v>144</v>
      </c>
    </row>
    <row r="11" spans="1:29" ht="67.5" customHeight="1" x14ac:dyDescent="0.2">
      <c r="A11" s="32" t="s">
        <v>317</v>
      </c>
      <c r="B11" s="33" t="s">
        <v>318</v>
      </c>
      <c r="C11" s="41" t="s">
        <v>319</v>
      </c>
      <c r="D11" s="33" t="s">
        <v>228</v>
      </c>
      <c r="E11" s="33" t="s">
        <v>158</v>
      </c>
      <c r="F11" s="33" t="s">
        <v>133</v>
      </c>
      <c r="G11" s="33" t="s">
        <v>320</v>
      </c>
      <c r="H11" s="33" t="s">
        <v>321</v>
      </c>
      <c r="I11" s="35" t="s">
        <v>136</v>
      </c>
      <c r="J11" s="35" t="s">
        <v>136</v>
      </c>
      <c r="K11" s="36" t="s">
        <v>137</v>
      </c>
      <c r="L11" s="36" t="s">
        <v>137</v>
      </c>
      <c r="M11" s="35" t="s">
        <v>136</v>
      </c>
      <c r="N11" s="36" t="s">
        <v>137</v>
      </c>
      <c r="O11" s="36" t="s">
        <v>137</v>
      </c>
      <c r="P11" s="33" t="s">
        <v>152</v>
      </c>
      <c r="Q11" s="33" t="s">
        <v>190</v>
      </c>
      <c r="R11" s="33" t="s">
        <v>182</v>
      </c>
      <c r="S11" s="33" t="s">
        <v>153</v>
      </c>
      <c r="T11" s="33" t="s">
        <v>191</v>
      </c>
      <c r="U11" s="33" t="s">
        <v>168</v>
      </c>
      <c r="V11" s="37">
        <v>3</v>
      </c>
      <c r="W11" s="37">
        <v>2</v>
      </c>
      <c r="X11" s="37">
        <v>2</v>
      </c>
      <c r="Y11" s="37">
        <v>2</v>
      </c>
      <c r="Z11" s="37">
        <v>2</v>
      </c>
      <c r="AA11" s="37">
        <v>2</v>
      </c>
      <c r="AB11" s="38">
        <f t="shared" si="0"/>
        <v>13</v>
      </c>
      <c r="AC11" s="39" t="s">
        <v>192</v>
      </c>
    </row>
    <row r="12" spans="1:29" ht="67.5" customHeight="1" x14ac:dyDescent="0.2">
      <c r="A12" s="32" t="s">
        <v>322</v>
      </c>
      <c r="B12" s="33" t="s">
        <v>323</v>
      </c>
      <c r="C12" s="41" t="s">
        <v>324</v>
      </c>
      <c r="D12" s="33" t="s">
        <v>228</v>
      </c>
      <c r="E12" s="33" t="s">
        <v>215</v>
      </c>
      <c r="F12" s="33" t="s">
        <v>133</v>
      </c>
      <c r="G12" s="33" t="s">
        <v>325</v>
      </c>
      <c r="H12" s="33" t="s">
        <v>326</v>
      </c>
      <c r="I12" s="35" t="s">
        <v>136</v>
      </c>
      <c r="J12" s="35" t="s">
        <v>136</v>
      </c>
      <c r="K12" s="36" t="s">
        <v>137</v>
      </c>
      <c r="L12" s="36" t="s">
        <v>137</v>
      </c>
      <c r="M12" s="35" t="s">
        <v>136</v>
      </c>
      <c r="N12" s="36" t="s">
        <v>137</v>
      </c>
      <c r="O12" s="36" t="s">
        <v>137</v>
      </c>
      <c r="P12" s="33" t="s">
        <v>152</v>
      </c>
      <c r="Q12" s="33" t="s">
        <v>139</v>
      </c>
      <c r="R12" s="33" t="s">
        <v>140</v>
      </c>
      <c r="S12" s="33" t="s">
        <v>153</v>
      </c>
      <c r="T12" s="33" t="s">
        <v>191</v>
      </c>
      <c r="U12" s="33" t="s">
        <v>143</v>
      </c>
      <c r="V12" s="37">
        <v>3</v>
      </c>
      <c r="W12" s="37">
        <v>3</v>
      </c>
      <c r="X12" s="37">
        <v>3</v>
      </c>
      <c r="Y12" s="37">
        <v>2</v>
      </c>
      <c r="Z12" s="37">
        <v>2</v>
      </c>
      <c r="AA12" s="37">
        <v>3</v>
      </c>
      <c r="AB12" s="38">
        <f t="shared" si="0"/>
        <v>16</v>
      </c>
      <c r="AC12" s="39" t="s">
        <v>144</v>
      </c>
    </row>
    <row r="13" spans="1:29" ht="67.5" customHeight="1" x14ac:dyDescent="0.2">
      <c r="A13" s="32" t="s">
        <v>327</v>
      </c>
      <c r="B13" s="33" t="s">
        <v>328</v>
      </c>
      <c r="C13" s="41" t="s">
        <v>329</v>
      </c>
      <c r="D13" s="33" t="s">
        <v>330</v>
      </c>
      <c r="E13" s="33" t="s">
        <v>222</v>
      </c>
      <c r="F13" s="33" t="s">
        <v>133</v>
      </c>
      <c r="G13" s="33" t="s">
        <v>331</v>
      </c>
      <c r="H13" s="33" t="s">
        <v>332</v>
      </c>
      <c r="I13" s="36" t="s">
        <v>137</v>
      </c>
      <c r="J13" s="35" t="s">
        <v>136</v>
      </c>
      <c r="K13" s="36" t="s">
        <v>137</v>
      </c>
      <c r="L13" s="36" t="s">
        <v>137</v>
      </c>
      <c r="M13" s="36" t="s">
        <v>137</v>
      </c>
      <c r="N13" s="36" t="s">
        <v>137</v>
      </c>
      <c r="O13" s="36" t="s">
        <v>137</v>
      </c>
      <c r="P13" s="33" t="s">
        <v>152</v>
      </c>
      <c r="Q13" s="33" t="s">
        <v>139</v>
      </c>
      <c r="R13" s="33" t="s">
        <v>140</v>
      </c>
      <c r="S13" s="33" t="s">
        <v>153</v>
      </c>
      <c r="T13" s="33" t="s">
        <v>243</v>
      </c>
      <c r="U13" s="33" t="s">
        <v>333</v>
      </c>
      <c r="V13" s="37">
        <v>3</v>
      </c>
      <c r="W13" s="37">
        <v>3</v>
      </c>
      <c r="X13" s="37">
        <v>3</v>
      </c>
      <c r="Y13" s="37">
        <v>2</v>
      </c>
      <c r="Z13" s="37">
        <v>3</v>
      </c>
      <c r="AA13" s="37">
        <v>1</v>
      </c>
      <c r="AB13" s="38">
        <f t="shared" si="0"/>
        <v>15</v>
      </c>
      <c r="AC13" s="39" t="s">
        <v>144</v>
      </c>
    </row>
    <row r="14" spans="1:29" ht="67.5" customHeight="1" x14ac:dyDescent="0.2">
      <c r="A14" s="32" t="s">
        <v>334</v>
      </c>
      <c r="B14" s="33" t="s">
        <v>335</v>
      </c>
      <c r="C14" s="41" t="s">
        <v>336</v>
      </c>
      <c r="D14" s="33" t="s">
        <v>148</v>
      </c>
      <c r="E14" s="33" t="s">
        <v>275</v>
      </c>
      <c r="F14" s="33" t="s">
        <v>133</v>
      </c>
      <c r="G14" s="33" t="s">
        <v>294</v>
      </c>
      <c r="H14" s="33" t="s">
        <v>337</v>
      </c>
      <c r="I14" s="35" t="s">
        <v>136</v>
      </c>
      <c r="J14" s="35" t="s">
        <v>136</v>
      </c>
      <c r="K14" s="36" t="s">
        <v>137</v>
      </c>
      <c r="L14" s="36" t="s">
        <v>137</v>
      </c>
      <c r="M14" s="36" t="s">
        <v>137</v>
      </c>
      <c r="N14" s="36" t="s">
        <v>137</v>
      </c>
      <c r="O14" s="36" t="s">
        <v>137</v>
      </c>
      <c r="P14" s="33" t="s">
        <v>152</v>
      </c>
      <c r="Q14" s="33" t="s">
        <v>190</v>
      </c>
      <c r="R14" s="33" t="s">
        <v>182</v>
      </c>
      <c r="S14" s="33" t="s">
        <v>153</v>
      </c>
      <c r="T14" s="33" t="s">
        <v>142</v>
      </c>
      <c r="U14" s="33" t="s">
        <v>143</v>
      </c>
      <c r="V14" s="37">
        <v>3</v>
      </c>
      <c r="W14" s="37">
        <v>2</v>
      </c>
      <c r="X14" s="37">
        <v>2</v>
      </c>
      <c r="Y14" s="37">
        <v>2</v>
      </c>
      <c r="Z14" s="37">
        <v>3</v>
      </c>
      <c r="AA14" s="37">
        <v>3</v>
      </c>
      <c r="AB14" s="38">
        <f t="shared" si="0"/>
        <v>15</v>
      </c>
      <c r="AC14" s="39" t="s">
        <v>144</v>
      </c>
    </row>
  </sheetData>
  <autoFilter ref="A4:AC14" xr:uid="{00000000-0009-0000-0000-000002000000}"/>
  <mergeCells count="6">
    <mergeCell ref="A1:AC1"/>
    <mergeCell ref="A2:AC2"/>
    <mergeCell ref="A3:H3"/>
    <mergeCell ref="I3:O3"/>
    <mergeCell ref="P3:U3"/>
    <mergeCell ref="V3:AC3"/>
  </mergeCells>
  <dataValidations count="7">
    <dataValidation type="list" allowBlank="1" sqref="U5:U14" xr:uid="{00000000-0002-0000-0200-000000000000}">
      <formula1>"High – Global Reach,Medium – National / Regional Reach,Low – Local Reach"</formula1>
      <formula2>0</formula2>
    </dataValidation>
    <dataValidation type="list" allowBlank="1" sqref="T5:T14" xr:uid="{00000000-0002-0000-0200-000001000000}">
      <formula1>"High – Global / Leading Organization,Medium – Established Sector Organization,Low – Emerging / Independent Organizer"</formula1>
      <formula2>0</formula2>
    </dataValidation>
    <dataValidation type="list" allowBlank="1" sqref="S5:S14" xr:uid="{00000000-0002-0000-0200-000002000000}">
      <formula1>"High – Senior Leaders / Decision-Makers,Medium – Field Experts / Professionals,Low – Emerging / General Profiles"</formula1>
      <formula2>0</formula2>
    </dataValidation>
    <dataValidation type="list" allowBlank="1" sqref="R5:R14" xr:uid="{00000000-0002-0000-0200-000003000000}">
      <formula1>"High – Large Event (1,000+ participants),Medium – Mid-size Event (300–1,000 participants),Low – Small Event (&lt;300 participants)"</formula1>
      <formula2>0</formula2>
    </dataValidation>
    <dataValidation type="list" allowBlank="1" sqref="Q5:Q14" xr:uid="{00000000-0002-0000-0200-000004000000}">
      <formula1>"High – International Recognition,Medium – Sector/National Recognition,Low – Emerging/Niche Recognition"</formula1>
      <formula2>0</formula2>
    </dataValidation>
    <dataValidation type="list" allowBlank="1" sqref="P5:P14" xr:uid="{00000000-0002-0000-0200-000005000000}">
      <formula1>"High – Long-established Event (10+ years),Medium – Established Event (3–9 years),Low – New / Emerging Event (&lt;3 years)"</formula1>
      <formula2>0</formula2>
    </dataValidation>
    <dataValidation type="list" allowBlank="1" sqref="I5:O14" xr:uid="{00000000-0002-0000-0200-000006000000}">
      <formula1>"Yes,No"</formula1>
      <formula2>0</formula2>
    </dataValidation>
  </dataValidations>
  <hyperlinks>
    <hyperlink ref="C8" r:id="rId1" xr:uid="{00000000-0004-0000-0200-000000000000}"/>
  </hyperlink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sheetPr>
  <dimension ref="A1:AC13"/>
  <sheetViews>
    <sheetView zoomScale="85" zoomScaleNormal="85" workbookViewId="0">
      <pane xSplit="1" ySplit="4" topLeftCell="B5" activePane="bottomRight" state="frozen"/>
      <selection pane="topRight" activeCell="B1" sqref="B1"/>
      <selection pane="bottomLeft" activeCell="A5" sqref="A5"/>
      <selection pane="bottomRight"/>
    </sheetView>
  </sheetViews>
  <sheetFormatPr baseColWidth="10" defaultColWidth="10.6640625" defaultRowHeight="15" x14ac:dyDescent="0.2"/>
  <cols>
    <col min="1" max="1" width="32" customWidth="1"/>
    <col min="2" max="2" width="46" customWidth="1"/>
    <col min="3" max="3" width="24" customWidth="1"/>
    <col min="4" max="4" width="20" customWidth="1"/>
    <col min="5" max="5" width="12" customWidth="1"/>
    <col min="6" max="6" width="11" customWidth="1"/>
    <col min="7" max="7" width="24" customWidth="1"/>
    <col min="8" max="8" width="32" customWidth="1"/>
    <col min="9" max="15" width="11" customWidth="1"/>
    <col min="16" max="21" width="24" customWidth="1"/>
    <col min="22" max="27" width="8.5" customWidth="1"/>
    <col min="28" max="28" width="9" customWidth="1"/>
    <col min="29" max="29" width="24" customWidth="1"/>
  </cols>
  <sheetData>
    <row r="1" spans="1:29" ht="33.75" customHeight="1" x14ac:dyDescent="0.2">
      <c r="A1" s="13" t="s">
        <v>98</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row>
    <row r="2" spans="1:29" ht="19.5" customHeight="1" x14ac:dyDescent="0.2">
      <c r="A2" s="12" t="s">
        <v>99</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row>
    <row r="3" spans="1:29" ht="19.5" customHeight="1" x14ac:dyDescent="0.2">
      <c r="A3" s="11" t="s">
        <v>100</v>
      </c>
      <c r="B3" s="11"/>
      <c r="C3" s="11"/>
      <c r="D3" s="11"/>
      <c r="E3" s="11"/>
      <c r="F3" s="11"/>
      <c r="G3" s="11"/>
      <c r="H3" s="11"/>
      <c r="I3" s="11" t="s">
        <v>101</v>
      </c>
      <c r="J3" s="11"/>
      <c r="K3" s="11"/>
      <c r="L3" s="11"/>
      <c r="M3" s="11"/>
      <c r="N3" s="11"/>
      <c r="O3" s="11"/>
      <c r="P3" s="10" t="s">
        <v>102</v>
      </c>
      <c r="Q3" s="10"/>
      <c r="R3" s="10"/>
      <c r="S3" s="10"/>
      <c r="T3" s="10"/>
      <c r="U3" s="10"/>
      <c r="V3" s="9" t="s">
        <v>103</v>
      </c>
      <c r="W3" s="9"/>
      <c r="X3" s="9"/>
      <c r="Y3" s="9"/>
      <c r="Z3" s="9"/>
      <c r="AA3" s="9"/>
      <c r="AB3" s="9"/>
      <c r="AC3" s="9"/>
    </row>
    <row r="4" spans="1:29" ht="43.5" customHeight="1" x14ac:dyDescent="0.2">
      <c r="A4" s="28" t="s">
        <v>2</v>
      </c>
      <c r="B4" s="28" t="s">
        <v>4</v>
      </c>
      <c r="C4" s="28" t="s">
        <v>104</v>
      </c>
      <c r="D4" s="28" t="s">
        <v>5</v>
      </c>
      <c r="E4" s="28" t="s">
        <v>105</v>
      </c>
      <c r="F4" s="28" t="s">
        <v>106</v>
      </c>
      <c r="G4" s="28" t="s">
        <v>7</v>
      </c>
      <c r="H4" s="28" t="s">
        <v>9</v>
      </c>
      <c r="I4" s="28" t="s">
        <v>107</v>
      </c>
      <c r="J4" s="28" t="s">
        <v>108</v>
      </c>
      <c r="K4" s="28" t="s">
        <v>109</v>
      </c>
      <c r="L4" s="28" t="s">
        <v>110</v>
      </c>
      <c r="M4" s="28" t="s">
        <v>111</v>
      </c>
      <c r="N4" s="28" t="s">
        <v>112</v>
      </c>
      <c r="O4" s="28" t="s">
        <v>113</v>
      </c>
      <c r="P4" s="29" t="s">
        <v>114</v>
      </c>
      <c r="Q4" s="29" t="s">
        <v>115</v>
      </c>
      <c r="R4" s="29" t="s">
        <v>116</v>
      </c>
      <c r="S4" s="29" t="s">
        <v>117</v>
      </c>
      <c r="T4" s="29" t="s">
        <v>118</v>
      </c>
      <c r="U4" s="29" t="s">
        <v>119</v>
      </c>
      <c r="V4" s="30" t="s">
        <v>120</v>
      </c>
      <c r="W4" s="30" t="s">
        <v>121</v>
      </c>
      <c r="X4" s="30" t="s">
        <v>122</v>
      </c>
      <c r="Y4" s="30" t="s">
        <v>123</v>
      </c>
      <c r="Z4" s="30" t="s">
        <v>124</v>
      </c>
      <c r="AA4" s="30" t="s">
        <v>125</v>
      </c>
      <c r="AB4" s="31" t="s">
        <v>126</v>
      </c>
      <c r="AC4" s="31" t="s">
        <v>127</v>
      </c>
    </row>
    <row r="5" spans="1:29" ht="67.5" customHeight="1" x14ac:dyDescent="0.2">
      <c r="A5" s="32" t="s">
        <v>338</v>
      </c>
      <c r="B5" s="33" t="s">
        <v>339</v>
      </c>
      <c r="C5" s="34" t="s">
        <v>340</v>
      </c>
      <c r="D5" s="33" t="s">
        <v>131</v>
      </c>
      <c r="E5" s="33" t="s">
        <v>341</v>
      </c>
      <c r="F5" s="33" t="s">
        <v>133</v>
      </c>
      <c r="G5" s="33" t="s">
        <v>338</v>
      </c>
      <c r="H5" s="33" t="s">
        <v>342</v>
      </c>
      <c r="I5" s="36" t="s">
        <v>137</v>
      </c>
      <c r="J5" s="36" t="s">
        <v>137</v>
      </c>
      <c r="K5" s="36" t="s">
        <v>137</v>
      </c>
      <c r="L5" s="35" t="s">
        <v>136</v>
      </c>
      <c r="M5" s="36" t="s">
        <v>137</v>
      </c>
      <c r="N5" s="36" t="s">
        <v>137</v>
      </c>
      <c r="O5" s="36" t="s">
        <v>137</v>
      </c>
      <c r="P5" s="33" t="s">
        <v>138</v>
      </c>
      <c r="Q5" s="33" t="s">
        <v>139</v>
      </c>
      <c r="R5" s="33" t="s">
        <v>140</v>
      </c>
      <c r="S5" s="33" t="s">
        <v>141</v>
      </c>
      <c r="T5" s="33" t="s">
        <v>191</v>
      </c>
      <c r="U5" s="33" t="s">
        <v>143</v>
      </c>
      <c r="V5" s="37">
        <v>2</v>
      </c>
      <c r="W5" s="37">
        <v>3</v>
      </c>
      <c r="X5" s="37">
        <v>3</v>
      </c>
      <c r="Y5" s="37">
        <v>3</v>
      </c>
      <c r="Z5" s="37">
        <v>2</v>
      </c>
      <c r="AA5" s="37">
        <v>3</v>
      </c>
      <c r="AB5" s="38">
        <f t="shared" ref="AB5:AB13" si="0">SUM(V5:AA5)</f>
        <v>16</v>
      </c>
      <c r="AC5" s="39" t="s">
        <v>144</v>
      </c>
    </row>
    <row r="6" spans="1:29" ht="67.5" customHeight="1" x14ac:dyDescent="0.2">
      <c r="A6" s="32" t="s">
        <v>343</v>
      </c>
      <c r="B6" s="33" t="s">
        <v>344</v>
      </c>
      <c r="C6" s="34" t="s">
        <v>345</v>
      </c>
      <c r="D6" s="33" t="s">
        <v>131</v>
      </c>
      <c r="E6" s="33" t="s">
        <v>187</v>
      </c>
      <c r="F6" s="33" t="s">
        <v>133</v>
      </c>
      <c r="G6" s="33" t="s">
        <v>346</v>
      </c>
      <c r="H6" s="33" t="s">
        <v>347</v>
      </c>
      <c r="I6" s="35" t="s">
        <v>136</v>
      </c>
      <c r="J6" s="36" t="s">
        <v>137</v>
      </c>
      <c r="K6" s="35" t="s">
        <v>136</v>
      </c>
      <c r="L6" s="35" t="s">
        <v>136</v>
      </c>
      <c r="M6" s="35" t="s">
        <v>136</v>
      </c>
      <c r="N6" s="36" t="s">
        <v>137</v>
      </c>
      <c r="O6" s="36" t="s">
        <v>137</v>
      </c>
      <c r="P6" s="33" t="s">
        <v>152</v>
      </c>
      <c r="Q6" s="33" t="s">
        <v>139</v>
      </c>
      <c r="R6" s="33" t="s">
        <v>140</v>
      </c>
      <c r="S6" s="33" t="s">
        <v>141</v>
      </c>
      <c r="T6" s="33" t="s">
        <v>142</v>
      </c>
      <c r="U6" s="33" t="s">
        <v>143</v>
      </c>
      <c r="V6" s="37">
        <v>3</v>
      </c>
      <c r="W6" s="37">
        <v>3</v>
      </c>
      <c r="X6" s="37">
        <v>3</v>
      </c>
      <c r="Y6" s="37">
        <v>3</v>
      </c>
      <c r="Z6" s="37">
        <v>3</v>
      </c>
      <c r="AA6" s="37">
        <v>3</v>
      </c>
      <c r="AB6" s="38">
        <f t="shared" si="0"/>
        <v>18</v>
      </c>
      <c r="AC6" s="39" t="s">
        <v>144</v>
      </c>
    </row>
    <row r="7" spans="1:29" ht="67.5" customHeight="1" x14ac:dyDescent="0.2">
      <c r="A7" s="32" t="s">
        <v>348</v>
      </c>
      <c r="B7" s="33" t="s">
        <v>349</v>
      </c>
      <c r="C7" s="34" t="s">
        <v>350</v>
      </c>
      <c r="D7" s="33" t="s">
        <v>351</v>
      </c>
      <c r="E7" s="33" t="s">
        <v>158</v>
      </c>
      <c r="F7" s="33" t="s">
        <v>133</v>
      </c>
      <c r="G7" s="33" t="s">
        <v>352</v>
      </c>
      <c r="H7" s="33" t="s">
        <v>353</v>
      </c>
      <c r="I7" s="36" t="s">
        <v>137</v>
      </c>
      <c r="J7" s="36" t="s">
        <v>137</v>
      </c>
      <c r="K7" s="36" t="s">
        <v>137</v>
      </c>
      <c r="L7" s="35" t="s">
        <v>136</v>
      </c>
      <c r="M7" s="36" t="s">
        <v>137</v>
      </c>
      <c r="N7" s="36" t="s">
        <v>137</v>
      </c>
      <c r="O7" s="36" t="s">
        <v>137</v>
      </c>
      <c r="P7" s="33" t="s">
        <v>152</v>
      </c>
      <c r="Q7" s="33" t="s">
        <v>139</v>
      </c>
      <c r="R7" s="33" t="s">
        <v>140</v>
      </c>
      <c r="S7" s="33" t="s">
        <v>141</v>
      </c>
      <c r="T7" s="33" t="s">
        <v>142</v>
      </c>
      <c r="U7" s="33" t="s">
        <v>143</v>
      </c>
      <c r="V7" s="37">
        <v>3</v>
      </c>
      <c r="W7" s="37">
        <v>3</v>
      </c>
      <c r="X7" s="37">
        <v>3</v>
      </c>
      <c r="Y7" s="37">
        <v>3</v>
      </c>
      <c r="Z7" s="37">
        <v>3</v>
      </c>
      <c r="AA7" s="37">
        <v>3</v>
      </c>
      <c r="AB7" s="38">
        <f t="shared" si="0"/>
        <v>18</v>
      </c>
      <c r="AC7" s="39" t="s">
        <v>144</v>
      </c>
    </row>
    <row r="8" spans="1:29" ht="67.5" customHeight="1" x14ac:dyDescent="0.2">
      <c r="A8" s="32" t="s">
        <v>354</v>
      </c>
      <c r="B8" s="33" t="s">
        <v>355</v>
      </c>
      <c r="C8" s="34" t="s">
        <v>356</v>
      </c>
      <c r="D8" s="33" t="s">
        <v>293</v>
      </c>
      <c r="E8" s="33" t="s">
        <v>187</v>
      </c>
      <c r="F8" s="33" t="s">
        <v>133</v>
      </c>
      <c r="G8" s="33" t="s">
        <v>357</v>
      </c>
      <c r="H8" s="33" t="s">
        <v>358</v>
      </c>
      <c r="I8" s="36" t="s">
        <v>137</v>
      </c>
      <c r="J8" s="36" t="s">
        <v>137</v>
      </c>
      <c r="K8" s="36" t="s">
        <v>137</v>
      </c>
      <c r="L8" s="35" t="s">
        <v>136</v>
      </c>
      <c r="M8" s="36" t="s">
        <v>137</v>
      </c>
      <c r="N8" s="36" t="s">
        <v>137</v>
      </c>
      <c r="O8" s="36" t="s">
        <v>137</v>
      </c>
      <c r="P8" s="33" t="s">
        <v>250</v>
      </c>
      <c r="Q8" s="33" t="s">
        <v>190</v>
      </c>
      <c r="R8" s="33" t="s">
        <v>182</v>
      </c>
      <c r="S8" s="33" t="s">
        <v>141</v>
      </c>
      <c r="T8" s="33" t="s">
        <v>191</v>
      </c>
      <c r="U8" s="33" t="s">
        <v>168</v>
      </c>
      <c r="V8" s="37">
        <v>1</v>
      </c>
      <c r="W8" s="37">
        <v>2</v>
      </c>
      <c r="X8" s="37">
        <v>2</v>
      </c>
      <c r="Y8" s="37">
        <v>3</v>
      </c>
      <c r="Z8" s="37">
        <v>2</v>
      </c>
      <c r="AA8" s="37">
        <v>2</v>
      </c>
      <c r="AB8" s="38">
        <f t="shared" si="0"/>
        <v>12</v>
      </c>
      <c r="AC8" s="39" t="s">
        <v>192</v>
      </c>
    </row>
    <row r="9" spans="1:29" ht="67.5" customHeight="1" x14ac:dyDescent="0.2">
      <c r="A9" s="32" t="s">
        <v>359</v>
      </c>
      <c r="B9" s="33" t="s">
        <v>360</v>
      </c>
      <c r="C9" s="34" t="s">
        <v>361</v>
      </c>
      <c r="D9" s="33" t="s">
        <v>239</v>
      </c>
      <c r="E9" s="33" t="s">
        <v>215</v>
      </c>
      <c r="F9" s="33" t="s">
        <v>133</v>
      </c>
      <c r="G9" s="33" t="s">
        <v>362</v>
      </c>
      <c r="H9" s="33" t="s">
        <v>363</v>
      </c>
      <c r="I9" s="36" t="s">
        <v>137</v>
      </c>
      <c r="J9" s="36" t="s">
        <v>137</v>
      </c>
      <c r="K9" s="35" t="s">
        <v>136</v>
      </c>
      <c r="L9" s="35" t="s">
        <v>136</v>
      </c>
      <c r="M9" s="35" t="s">
        <v>136</v>
      </c>
      <c r="N9" s="36" t="s">
        <v>137</v>
      </c>
      <c r="O9" s="36" t="s">
        <v>137</v>
      </c>
      <c r="P9" s="33" t="s">
        <v>152</v>
      </c>
      <c r="Q9" s="33" t="s">
        <v>139</v>
      </c>
      <c r="R9" s="33" t="s">
        <v>140</v>
      </c>
      <c r="S9" s="33" t="s">
        <v>141</v>
      </c>
      <c r="T9" s="33" t="s">
        <v>142</v>
      </c>
      <c r="U9" s="33" t="s">
        <v>143</v>
      </c>
      <c r="V9" s="37">
        <v>3</v>
      </c>
      <c r="W9" s="37">
        <v>3</v>
      </c>
      <c r="X9" s="37">
        <v>3</v>
      </c>
      <c r="Y9" s="37">
        <v>3</v>
      </c>
      <c r="Z9" s="37">
        <v>3</v>
      </c>
      <c r="AA9" s="37">
        <v>3</v>
      </c>
      <c r="AB9" s="38">
        <f t="shared" si="0"/>
        <v>18</v>
      </c>
      <c r="AC9" s="39" t="s">
        <v>144</v>
      </c>
    </row>
    <row r="10" spans="1:29" ht="67.5" customHeight="1" x14ac:dyDescent="0.2">
      <c r="A10" s="32" t="s">
        <v>364</v>
      </c>
      <c r="B10" s="33" t="s">
        <v>365</v>
      </c>
      <c r="C10" s="34" t="s">
        <v>366</v>
      </c>
      <c r="D10" s="33" t="s">
        <v>164</v>
      </c>
      <c r="E10" s="33" t="s">
        <v>208</v>
      </c>
      <c r="F10" s="33" t="s">
        <v>133</v>
      </c>
      <c r="G10" s="33" t="s">
        <v>367</v>
      </c>
      <c r="H10" s="33" t="s">
        <v>368</v>
      </c>
      <c r="I10" s="36" t="s">
        <v>137</v>
      </c>
      <c r="J10" s="36" t="s">
        <v>137</v>
      </c>
      <c r="K10" s="35" t="s">
        <v>136</v>
      </c>
      <c r="L10" s="35" t="s">
        <v>136</v>
      </c>
      <c r="M10" s="36" t="s">
        <v>137</v>
      </c>
      <c r="N10" s="36" t="s">
        <v>137</v>
      </c>
      <c r="O10" s="36" t="s">
        <v>137</v>
      </c>
      <c r="P10" s="33" t="s">
        <v>152</v>
      </c>
      <c r="Q10" s="33" t="s">
        <v>139</v>
      </c>
      <c r="R10" s="33" t="s">
        <v>182</v>
      </c>
      <c r="S10" s="33" t="s">
        <v>153</v>
      </c>
      <c r="T10" s="33" t="s">
        <v>191</v>
      </c>
      <c r="U10" s="33" t="s">
        <v>143</v>
      </c>
      <c r="V10" s="37">
        <v>3</v>
      </c>
      <c r="W10" s="37">
        <v>3</v>
      </c>
      <c r="X10" s="37">
        <v>2</v>
      </c>
      <c r="Y10" s="37">
        <v>2</v>
      </c>
      <c r="Z10" s="37">
        <v>2</v>
      </c>
      <c r="AA10" s="37">
        <v>3</v>
      </c>
      <c r="AB10" s="38">
        <f t="shared" si="0"/>
        <v>15</v>
      </c>
      <c r="AC10" s="39" t="s">
        <v>144</v>
      </c>
    </row>
    <row r="11" spans="1:29" ht="67.5" customHeight="1" x14ac:dyDescent="0.2">
      <c r="A11" s="32" t="s">
        <v>369</v>
      </c>
      <c r="B11" s="33" t="s">
        <v>370</v>
      </c>
      <c r="C11" s="34" t="s">
        <v>371</v>
      </c>
      <c r="D11" s="33" t="s">
        <v>372</v>
      </c>
      <c r="E11" s="33" t="s">
        <v>240</v>
      </c>
      <c r="F11" s="33" t="s">
        <v>133</v>
      </c>
      <c r="G11" s="33" t="s">
        <v>373</v>
      </c>
      <c r="H11" s="33" t="s">
        <v>374</v>
      </c>
      <c r="I11" s="36" t="s">
        <v>137</v>
      </c>
      <c r="J11" s="36" t="s">
        <v>137</v>
      </c>
      <c r="K11" s="36" t="s">
        <v>137</v>
      </c>
      <c r="L11" s="35" t="s">
        <v>136</v>
      </c>
      <c r="M11" s="36" t="s">
        <v>137</v>
      </c>
      <c r="N11" s="36" t="s">
        <v>137</v>
      </c>
      <c r="O11" s="36" t="s">
        <v>137</v>
      </c>
      <c r="P11" s="33" t="s">
        <v>152</v>
      </c>
      <c r="Q11" s="33" t="s">
        <v>139</v>
      </c>
      <c r="R11" s="33" t="s">
        <v>182</v>
      </c>
      <c r="S11" s="33" t="s">
        <v>141</v>
      </c>
      <c r="T11" s="33" t="s">
        <v>142</v>
      </c>
      <c r="U11" s="33" t="s">
        <v>143</v>
      </c>
      <c r="V11" s="37">
        <v>3</v>
      </c>
      <c r="W11" s="37">
        <v>3</v>
      </c>
      <c r="X11" s="37">
        <v>2</v>
      </c>
      <c r="Y11" s="37">
        <v>3</v>
      </c>
      <c r="Z11" s="37">
        <v>3</v>
      </c>
      <c r="AA11" s="37">
        <v>3</v>
      </c>
      <c r="AB11" s="38">
        <f t="shared" si="0"/>
        <v>17</v>
      </c>
      <c r="AC11" s="39" t="s">
        <v>144</v>
      </c>
    </row>
    <row r="12" spans="1:29" ht="67.5" customHeight="1" x14ac:dyDescent="0.2">
      <c r="A12" s="32" t="s">
        <v>375</v>
      </c>
      <c r="B12" s="33" t="s">
        <v>376</v>
      </c>
      <c r="C12" s="34" t="s">
        <v>377</v>
      </c>
      <c r="D12" s="33" t="s">
        <v>378</v>
      </c>
      <c r="E12" s="33" t="s">
        <v>187</v>
      </c>
      <c r="F12" s="33" t="s">
        <v>133</v>
      </c>
      <c r="G12" s="33" t="s">
        <v>379</v>
      </c>
      <c r="H12" s="33" t="s">
        <v>380</v>
      </c>
      <c r="I12" s="36" t="s">
        <v>137</v>
      </c>
      <c r="J12" s="36" t="s">
        <v>137</v>
      </c>
      <c r="K12" s="36" t="s">
        <v>137</v>
      </c>
      <c r="L12" s="35" t="s">
        <v>136</v>
      </c>
      <c r="M12" s="36" t="s">
        <v>137</v>
      </c>
      <c r="N12" s="36" t="s">
        <v>137</v>
      </c>
      <c r="O12" s="36" t="s">
        <v>137</v>
      </c>
      <c r="P12" s="33" t="s">
        <v>138</v>
      </c>
      <c r="Q12" s="33" t="s">
        <v>190</v>
      </c>
      <c r="R12" s="33" t="s">
        <v>182</v>
      </c>
      <c r="S12" s="33" t="s">
        <v>153</v>
      </c>
      <c r="T12" s="33" t="s">
        <v>191</v>
      </c>
      <c r="U12" s="33" t="s">
        <v>168</v>
      </c>
      <c r="V12" s="37">
        <v>2</v>
      </c>
      <c r="W12" s="37">
        <v>2</v>
      </c>
      <c r="X12" s="37">
        <v>2</v>
      </c>
      <c r="Y12" s="37">
        <v>2</v>
      </c>
      <c r="Z12" s="37">
        <v>2</v>
      </c>
      <c r="AA12" s="37">
        <v>2</v>
      </c>
      <c r="AB12" s="38">
        <f t="shared" si="0"/>
        <v>12</v>
      </c>
      <c r="AC12" s="39" t="s">
        <v>192</v>
      </c>
    </row>
    <row r="13" spans="1:29" ht="67.5" customHeight="1" x14ac:dyDescent="0.2">
      <c r="A13" s="32" t="s">
        <v>381</v>
      </c>
      <c r="B13" s="33" t="s">
        <v>382</v>
      </c>
      <c r="C13" s="34" t="s">
        <v>383</v>
      </c>
      <c r="D13" s="33" t="s">
        <v>384</v>
      </c>
      <c r="E13" s="33" t="s">
        <v>187</v>
      </c>
      <c r="F13" s="33" t="s">
        <v>133</v>
      </c>
      <c r="G13" s="33" t="s">
        <v>385</v>
      </c>
      <c r="H13" s="33" t="s">
        <v>386</v>
      </c>
      <c r="I13" s="36" t="s">
        <v>137</v>
      </c>
      <c r="J13" s="36" t="s">
        <v>137</v>
      </c>
      <c r="K13" s="35" t="s">
        <v>136</v>
      </c>
      <c r="L13" s="35" t="s">
        <v>136</v>
      </c>
      <c r="M13" s="36" t="s">
        <v>137</v>
      </c>
      <c r="N13" s="36" t="s">
        <v>137</v>
      </c>
      <c r="O13" s="36" t="s">
        <v>137</v>
      </c>
      <c r="P13" s="33" t="s">
        <v>138</v>
      </c>
      <c r="Q13" s="33" t="s">
        <v>190</v>
      </c>
      <c r="R13" s="33" t="s">
        <v>252</v>
      </c>
      <c r="S13" s="33" t="s">
        <v>153</v>
      </c>
      <c r="T13" s="33" t="s">
        <v>191</v>
      </c>
      <c r="U13" s="33" t="s">
        <v>143</v>
      </c>
      <c r="V13" s="37">
        <v>2</v>
      </c>
      <c r="W13" s="37">
        <v>2</v>
      </c>
      <c r="X13" s="37">
        <v>1</v>
      </c>
      <c r="Y13" s="37">
        <v>2</v>
      </c>
      <c r="Z13" s="37">
        <v>2</v>
      </c>
      <c r="AA13" s="37">
        <v>3</v>
      </c>
      <c r="AB13" s="38">
        <f t="shared" si="0"/>
        <v>12</v>
      </c>
      <c r="AC13" s="39" t="s">
        <v>192</v>
      </c>
    </row>
  </sheetData>
  <autoFilter ref="A4:AC13" xr:uid="{00000000-0009-0000-0000-000003000000}"/>
  <mergeCells count="6">
    <mergeCell ref="A1:AC1"/>
    <mergeCell ref="A2:AC2"/>
    <mergeCell ref="A3:H3"/>
    <mergeCell ref="I3:O3"/>
    <mergeCell ref="P3:U3"/>
    <mergeCell ref="V3:AC3"/>
  </mergeCells>
  <dataValidations count="7">
    <dataValidation type="list" allowBlank="1" sqref="U5:U13" xr:uid="{00000000-0002-0000-0300-000000000000}">
      <formula1>"High – Global Reach,Medium – National / Regional Reach,Low – Local Reach"</formula1>
      <formula2>0</formula2>
    </dataValidation>
    <dataValidation type="list" allowBlank="1" sqref="T5:T13" xr:uid="{00000000-0002-0000-0300-000001000000}">
      <formula1>"High – Global / Leading Organization,Medium – Established Sector Organization,Low – Emerging / Independent Organizer"</formula1>
      <formula2>0</formula2>
    </dataValidation>
    <dataValidation type="list" allowBlank="1" sqref="S5:S13" xr:uid="{00000000-0002-0000-0300-000002000000}">
      <formula1>"High – Senior Leaders / Decision-Makers,Medium – Field Experts / Professionals,Low – Emerging / General Profiles"</formula1>
      <formula2>0</formula2>
    </dataValidation>
    <dataValidation type="list" allowBlank="1" sqref="R5:R13" xr:uid="{00000000-0002-0000-0300-000003000000}">
      <formula1>"High – Large Event (1,000+ participants),Medium – Mid-size Event (300–1,000 participants),Low – Small Event (&lt;300 participants)"</formula1>
      <formula2>0</formula2>
    </dataValidation>
    <dataValidation type="list" allowBlank="1" sqref="Q5:Q13" xr:uid="{00000000-0002-0000-0300-000004000000}">
      <formula1>"High – International Recognition,Medium – Sector/National Recognition,Low – Emerging/Niche Recognition"</formula1>
      <formula2>0</formula2>
    </dataValidation>
    <dataValidation type="list" allowBlank="1" sqref="P5:P13" xr:uid="{00000000-0002-0000-0300-000005000000}">
      <formula1>"High – Long-established Event (10+ years),Medium – Established Event (3–9 years),Low – New / Emerging Event (&lt;3 years)"</formula1>
      <formula2>0</formula2>
    </dataValidation>
    <dataValidation type="list" allowBlank="1" sqref="I5:O13" xr:uid="{00000000-0002-0000-0300-000006000000}">
      <formula1>"Yes,No"</formula1>
      <formula2>0</formula2>
    </dataValidation>
  </dataValidations>
  <hyperlinks>
    <hyperlink ref="C5" r:id="rId1" xr:uid="{00000000-0004-0000-0300-000000000000}"/>
    <hyperlink ref="C6" r:id="rId2" xr:uid="{00000000-0004-0000-0300-000001000000}"/>
    <hyperlink ref="C7" r:id="rId3" xr:uid="{00000000-0004-0000-0300-000002000000}"/>
    <hyperlink ref="C8" r:id="rId4" xr:uid="{00000000-0004-0000-0300-000003000000}"/>
    <hyperlink ref="C9" r:id="rId5" xr:uid="{00000000-0004-0000-0300-000004000000}"/>
    <hyperlink ref="C10" r:id="rId6" xr:uid="{00000000-0004-0000-0300-000005000000}"/>
    <hyperlink ref="C11" r:id="rId7" xr:uid="{00000000-0004-0000-0300-000006000000}"/>
    <hyperlink ref="C12" r:id="rId8" xr:uid="{00000000-0004-0000-0300-000007000000}"/>
    <hyperlink ref="C13" r:id="rId9" xr:uid="{00000000-0004-0000-0300-000008000000}"/>
  </hyperlink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AC19"/>
  <sheetViews>
    <sheetView zoomScale="85" zoomScaleNormal="85" workbookViewId="0">
      <pane xSplit="1" ySplit="4" topLeftCell="B19" activePane="bottomRight" state="frozen"/>
      <selection pane="topRight" activeCell="B1" sqref="B1"/>
      <selection pane="bottomLeft" activeCell="A5" sqref="A5"/>
      <selection pane="bottomRight" activeCell="A5" sqref="A5"/>
    </sheetView>
  </sheetViews>
  <sheetFormatPr baseColWidth="10" defaultColWidth="10.6640625" defaultRowHeight="15" x14ac:dyDescent="0.2"/>
  <cols>
    <col min="1" max="1" width="32" customWidth="1"/>
    <col min="2" max="2" width="46" customWidth="1"/>
    <col min="3" max="3" width="24" customWidth="1"/>
    <col min="4" max="4" width="20" customWidth="1"/>
    <col min="5" max="5" width="12" customWidth="1"/>
    <col min="6" max="6" width="11" customWidth="1"/>
    <col min="7" max="7" width="24" customWidth="1"/>
    <col min="8" max="8" width="32" customWidth="1"/>
    <col min="9" max="15" width="11" customWidth="1"/>
    <col min="16" max="21" width="24" customWidth="1"/>
    <col min="22" max="27" width="8.5" customWidth="1"/>
    <col min="28" max="28" width="9" customWidth="1"/>
    <col min="29" max="29" width="24" customWidth="1"/>
  </cols>
  <sheetData>
    <row r="1" spans="1:29" ht="33.75" customHeight="1" x14ac:dyDescent="0.2">
      <c r="A1" s="13" t="s">
        <v>98</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row>
    <row r="2" spans="1:29" ht="19.5" customHeight="1" x14ac:dyDescent="0.2">
      <c r="A2" s="12" t="s">
        <v>99</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row>
    <row r="3" spans="1:29" ht="19.5" customHeight="1" x14ac:dyDescent="0.2">
      <c r="A3" s="11" t="s">
        <v>100</v>
      </c>
      <c r="B3" s="11"/>
      <c r="C3" s="11"/>
      <c r="D3" s="11"/>
      <c r="E3" s="11"/>
      <c r="F3" s="11"/>
      <c r="G3" s="11"/>
      <c r="H3" s="11"/>
      <c r="I3" s="11" t="s">
        <v>101</v>
      </c>
      <c r="J3" s="11"/>
      <c r="K3" s="11"/>
      <c r="L3" s="11"/>
      <c r="M3" s="11"/>
      <c r="N3" s="11"/>
      <c r="O3" s="11"/>
      <c r="P3" s="10" t="s">
        <v>102</v>
      </c>
      <c r="Q3" s="10"/>
      <c r="R3" s="10"/>
      <c r="S3" s="10"/>
      <c r="T3" s="10"/>
      <c r="U3" s="10"/>
      <c r="V3" s="9" t="s">
        <v>103</v>
      </c>
      <c r="W3" s="9"/>
      <c r="X3" s="9"/>
      <c r="Y3" s="9"/>
      <c r="Z3" s="9"/>
      <c r="AA3" s="9"/>
      <c r="AB3" s="9"/>
      <c r="AC3" s="9"/>
    </row>
    <row r="4" spans="1:29" ht="43.5" customHeight="1" x14ac:dyDescent="0.2">
      <c r="A4" s="28" t="s">
        <v>2</v>
      </c>
      <c r="B4" s="28" t="s">
        <v>4</v>
      </c>
      <c r="C4" s="28" t="s">
        <v>104</v>
      </c>
      <c r="D4" s="28" t="s">
        <v>5</v>
      </c>
      <c r="E4" s="28" t="s">
        <v>105</v>
      </c>
      <c r="F4" s="28" t="s">
        <v>106</v>
      </c>
      <c r="G4" s="28" t="s">
        <v>7</v>
      </c>
      <c r="H4" s="28" t="s">
        <v>9</v>
      </c>
      <c r="I4" s="28" t="s">
        <v>107</v>
      </c>
      <c r="J4" s="28" t="s">
        <v>108</v>
      </c>
      <c r="K4" s="28" t="s">
        <v>109</v>
      </c>
      <c r="L4" s="28" t="s">
        <v>110</v>
      </c>
      <c r="M4" s="28" t="s">
        <v>111</v>
      </c>
      <c r="N4" s="28" t="s">
        <v>112</v>
      </c>
      <c r="O4" s="28" t="s">
        <v>113</v>
      </c>
      <c r="P4" s="29" t="s">
        <v>114</v>
      </c>
      <c r="Q4" s="29" t="s">
        <v>115</v>
      </c>
      <c r="R4" s="29" t="s">
        <v>116</v>
      </c>
      <c r="S4" s="29" t="s">
        <v>117</v>
      </c>
      <c r="T4" s="29" t="s">
        <v>118</v>
      </c>
      <c r="U4" s="29" t="s">
        <v>119</v>
      </c>
      <c r="V4" s="30" t="s">
        <v>120</v>
      </c>
      <c r="W4" s="30" t="s">
        <v>121</v>
      </c>
      <c r="X4" s="30" t="s">
        <v>122</v>
      </c>
      <c r="Y4" s="30" t="s">
        <v>123</v>
      </c>
      <c r="Z4" s="30" t="s">
        <v>124</v>
      </c>
      <c r="AA4" s="30" t="s">
        <v>125</v>
      </c>
      <c r="AB4" s="31" t="s">
        <v>126</v>
      </c>
      <c r="AC4" s="31" t="s">
        <v>127</v>
      </c>
    </row>
    <row r="5" spans="1:29" ht="67.5" customHeight="1" x14ac:dyDescent="0.2">
      <c r="A5" s="32" t="s">
        <v>387</v>
      </c>
      <c r="B5" s="33" t="s">
        <v>388</v>
      </c>
      <c r="C5" s="41" t="s">
        <v>389</v>
      </c>
      <c r="D5" s="33" t="s">
        <v>228</v>
      </c>
      <c r="E5" s="33" t="s">
        <v>149</v>
      </c>
      <c r="F5" s="33" t="s">
        <v>133</v>
      </c>
      <c r="G5" s="33" t="s">
        <v>390</v>
      </c>
      <c r="H5" s="33" t="s">
        <v>391</v>
      </c>
      <c r="I5" s="36" t="s">
        <v>137</v>
      </c>
      <c r="J5" s="36" t="s">
        <v>137</v>
      </c>
      <c r="K5" s="36" t="s">
        <v>137</v>
      </c>
      <c r="L5" s="36" t="s">
        <v>137</v>
      </c>
      <c r="M5" s="35" t="s">
        <v>136</v>
      </c>
      <c r="N5" s="36" t="s">
        <v>137</v>
      </c>
      <c r="O5" s="36" t="s">
        <v>137</v>
      </c>
      <c r="P5" s="33" t="s">
        <v>152</v>
      </c>
      <c r="Q5" s="33" t="s">
        <v>139</v>
      </c>
      <c r="R5" s="33" t="s">
        <v>140</v>
      </c>
      <c r="S5" s="33" t="s">
        <v>141</v>
      </c>
      <c r="T5" s="33" t="s">
        <v>142</v>
      </c>
      <c r="U5" s="33" t="s">
        <v>143</v>
      </c>
      <c r="V5" s="37">
        <v>3</v>
      </c>
      <c r="W5" s="37">
        <v>3</v>
      </c>
      <c r="X5" s="37">
        <v>3</v>
      </c>
      <c r="Y5" s="37">
        <v>3</v>
      </c>
      <c r="Z5" s="37">
        <v>3</v>
      </c>
      <c r="AA5" s="37">
        <v>3</v>
      </c>
      <c r="AB5" s="38">
        <f t="shared" ref="AB5:AB19" si="0">SUM(V5:AA5)</f>
        <v>18</v>
      </c>
      <c r="AC5" s="39" t="s">
        <v>144</v>
      </c>
    </row>
    <row r="6" spans="1:29" ht="67.5" customHeight="1" x14ac:dyDescent="0.2">
      <c r="A6" s="32" t="s">
        <v>392</v>
      </c>
      <c r="B6" s="33" t="s">
        <v>393</v>
      </c>
      <c r="C6" s="41" t="s">
        <v>394</v>
      </c>
      <c r="D6" s="33" t="s">
        <v>330</v>
      </c>
      <c r="E6" s="33" t="s">
        <v>132</v>
      </c>
      <c r="F6" s="33" t="s">
        <v>133</v>
      </c>
      <c r="G6" s="33" t="s">
        <v>395</v>
      </c>
      <c r="H6" s="33" t="s">
        <v>396</v>
      </c>
      <c r="I6" s="36" t="s">
        <v>137</v>
      </c>
      <c r="J6" s="36" t="s">
        <v>137</v>
      </c>
      <c r="K6" s="36" t="s">
        <v>137</v>
      </c>
      <c r="L6" s="35" t="s">
        <v>136</v>
      </c>
      <c r="M6" s="35" t="s">
        <v>136</v>
      </c>
      <c r="N6" s="36" t="s">
        <v>137</v>
      </c>
      <c r="O6" s="36" t="s">
        <v>137</v>
      </c>
      <c r="P6" s="33" t="s">
        <v>152</v>
      </c>
      <c r="Q6" s="33" t="s">
        <v>139</v>
      </c>
      <c r="R6" s="33" t="s">
        <v>140</v>
      </c>
      <c r="S6" s="33" t="s">
        <v>141</v>
      </c>
      <c r="T6" s="33" t="s">
        <v>142</v>
      </c>
      <c r="U6" s="33" t="s">
        <v>143</v>
      </c>
      <c r="V6" s="37">
        <v>3</v>
      </c>
      <c r="W6" s="37">
        <v>3</v>
      </c>
      <c r="X6" s="37">
        <v>3</v>
      </c>
      <c r="Y6" s="37">
        <v>3</v>
      </c>
      <c r="Z6" s="37">
        <v>3</v>
      </c>
      <c r="AA6" s="37">
        <v>3</v>
      </c>
      <c r="AB6" s="38">
        <f t="shared" si="0"/>
        <v>18</v>
      </c>
      <c r="AC6" s="39" t="s">
        <v>144</v>
      </c>
    </row>
    <row r="7" spans="1:29" ht="67.5" customHeight="1" x14ac:dyDescent="0.2">
      <c r="A7" s="32" t="s">
        <v>397</v>
      </c>
      <c r="B7" s="33" t="s">
        <v>398</v>
      </c>
      <c r="C7" s="41" t="s">
        <v>399</v>
      </c>
      <c r="D7" s="33" t="s">
        <v>239</v>
      </c>
      <c r="E7" s="33" t="s">
        <v>165</v>
      </c>
      <c r="F7" s="33" t="s">
        <v>133</v>
      </c>
      <c r="G7" s="33" t="s">
        <v>400</v>
      </c>
      <c r="H7" s="33" t="s">
        <v>401</v>
      </c>
      <c r="I7" s="35" t="s">
        <v>136</v>
      </c>
      <c r="J7" s="35" t="s">
        <v>136</v>
      </c>
      <c r="K7" s="36" t="s">
        <v>137</v>
      </c>
      <c r="L7" s="36" t="s">
        <v>137</v>
      </c>
      <c r="M7" s="35" t="s">
        <v>136</v>
      </c>
      <c r="N7" s="36" t="s">
        <v>137</v>
      </c>
      <c r="O7" s="36" t="s">
        <v>137</v>
      </c>
      <c r="P7" s="33" t="s">
        <v>152</v>
      </c>
      <c r="Q7" s="33" t="s">
        <v>139</v>
      </c>
      <c r="R7" s="33" t="s">
        <v>140</v>
      </c>
      <c r="S7" s="33" t="s">
        <v>141</v>
      </c>
      <c r="T7" s="33" t="s">
        <v>142</v>
      </c>
      <c r="U7" s="33" t="s">
        <v>143</v>
      </c>
      <c r="V7" s="37">
        <v>3</v>
      </c>
      <c r="W7" s="37">
        <v>3</v>
      </c>
      <c r="X7" s="37">
        <v>3</v>
      </c>
      <c r="Y7" s="37">
        <v>3</v>
      </c>
      <c r="Z7" s="37">
        <v>3</v>
      </c>
      <c r="AA7" s="37">
        <v>3</v>
      </c>
      <c r="AB7" s="38">
        <f t="shared" si="0"/>
        <v>18</v>
      </c>
      <c r="AC7" s="39" t="s">
        <v>144</v>
      </c>
    </row>
    <row r="8" spans="1:29" ht="67.5" customHeight="1" x14ac:dyDescent="0.2">
      <c r="A8" s="32" t="s">
        <v>402</v>
      </c>
      <c r="B8" s="33" t="s">
        <v>403</v>
      </c>
      <c r="C8" s="41" t="s">
        <v>404</v>
      </c>
      <c r="D8" s="33" t="s">
        <v>405</v>
      </c>
      <c r="E8" s="33" t="s">
        <v>158</v>
      </c>
      <c r="F8" s="33" t="s">
        <v>133</v>
      </c>
      <c r="G8" s="33" t="s">
        <v>406</v>
      </c>
      <c r="H8" s="33" t="s">
        <v>407</v>
      </c>
      <c r="I8" s="36" t="s">
        <v>137</v>
      </c>
      <c r="J8" s="36" t="s">
        <v>137</v>
      </c>
      <c r="K8" s="36" t="s">
        <v>137</v>
      </c>
      <c r="L8" s="35" t="s">
        <v>136</v>
      </c>
      <c r="M8" s="35" t="s">
        <v>136</v>
      </c>
      <c r="N8" s="36" t="s">
        <v>137</v>
      </c>
      <c r="O8" s="36" t="s">
        <v>137</v>
      </c>
      <c r="P8" s="33" t="s">
        <v>152</v>
      </c>
      <c r="Q8" s="33" t="s">
        <v>190</v>
      </c>
      <c r="R8" s="33" t="s">
        <v>182</v>
      </c>
      <c r="S8" s="33" t="s">
        <v>141</v>
      </c>
      <c r="T8" s="33" t="s">
        <v>142</v>
      </c>
      <c r="U8" s="33" t="s">
        <v>143</v>
      </c>
      <c r="V8" s="37">
        <v>3</v>
      </c>
      <c r="W8" s="37">
        <v>2</v>
      </c>
      <c r="X8" s="37">
        <v>2</v>
      </c>
      <c r="Y8" s="37">
        <v>3</v>
      </c>
      <c r="Z8" s="37">
        <v>3</v>
      </c>
      <c r="AA8" s="37">
        <v>3</v>
      </c>
      <c r="AB8" s="38">
        <f t="shared" si="0"/>
        <v>16</v>
      </c>
      <c r="AC8" s="39" t="s">
        <v>144</v>
      </c>
    </row>
    <row r="9" spans="1:29" ht="67.5" customHeight="1" x14ac:dyDescent="0.2">
      <c r="A9" s="32" t="s">
        <v>408</v>
      </c>
      <c r="B9" s="33" t="s">
        <v>409</v>
      </c>
      <c r="C9" s="41" t="s">
        <v>410</v>
      </c>
      <c r="D9" s="33" t="s">
        <v>411</v>
      </c>
      <c r="E9" s="33" t="s">
        <v>240</v>
      </c>
      <c r="F9" s="33" t="s">
        <v>133</v>
      </c>
      <c r="G9" s="33" t="s">
        <v>412</v>
      </c>
      <c r="H9" s="33" t="s">
        <v>413</v>
      </c>
      <c r="I9" s="36" t="s">
        <v>137</v>
      </c>
      <c r="J9" s="35" t="s">
        <v>136</v>
      </c>
      <c r="K9" s="36" t="s">
        <v>137</v>
      </c>
      <c r="L9" s="35" t="s">
        <v>136</v>
      </c>
      <c r="M9" s="35" t="s">
        <v>136</v>
      </c>
      <c r="N9" s="35" t="s">
        <v>136</v>
      </c>
      <c r="O9" s="36" t="s">
        <v>137</v>
      </c>
      <c r="P9" s="33" t="s">
        <v>152</v>
      </c>
      <c r="Q9" s="33" t="s">
        <v>190</v>
      </c>
      <c r="R9" s="33" t="s">
        <v>182</v>
      </c>
      <c r="S9" s="33" t="s">
        <v>141</v>
      </c>
      <c r="T9" s="33" t="s">
        <v>142</v>
      </c>
      <c r="U9" s="33" t="s">
        <v>168</v>
      </c>
      <c r="V9" s="37">
        <v>3</v>
      </c>
      <c r="W9" s="37">
        <v>2</v>
      </c>
      <c r="X9" s="37">
        <v>2</v>
      </c>
      <c r="Y9" s="37">
        <v>3</v>
      </c>
      <c r="Z9" s="37">
        <v>3</v>
      </c>
      <c r="AA9" s="37">
        <v>2</v>
      </c>
      <c r="AB9" s="38">
        <f t="shared" si="0"/>
        <v>15</v>
      </c>
      <c r="AC9" s="39" t="s">
        <v>144</v>
      </c>
    </row>
    <row r="10" spans="1:29" ht="67.5" customHeight="1" x14ac:dyDescent="0.2">
      <c r="A10" s="32" t="s">
        <v>414</v>
      </c>
      <c r="B10" s="33" t="s">
        <v>415</v>
      </c>
      <c r="C10" s="41" t="s">
        <v>416</v>
      </c>
      <c r="D10" s="33" t="s">
        <v>131</v>
      </c>
      <c r="E10" s="33" t="s">
        <v>187</v>
      </c>
      <c r="F10" s="33" t="s">
        <v>133</v>
      </c>
      <c r="G10" s="33" t="s">
        <v>417</v>
      </c>
      <c r="H10" s="33" t="s">
        <v>418</v>
      </c>
      <c r="I10" s="35" t="s">
        <v>136</v>
      </c>
      <c r="J10" s="35" t="s">
        <v>136</v>
      </c>
      <c r="K10" s="36" t="s">
        <v>137</v>
      </c>
      <c r="L10" s="35" t="s">
        <v>136</v>
      </c>
      <c r="M10" s="35" t="s">
        <v>136</v>
      </c>
      <c r="N10" s="36" t="s">
        <v>137</v>
      </c>
      <c r="O10" s="36" t="s">
        <v>137</v>
      </c>
      <c r="P10" s="33" t="s">
        <v>138</v>
      </c>
      <c r="Q10" s="33" t="s">
        <v>139</v>
      </c>
      <c r="R10" s="33" t="s">
        <v>140</v>
      </c>
      <c r="S10" s="33" t="s">
        <v>141</v>
      </c>
      <c r="T10" s="33" t="s">
        <v>191</v>
      </c>
      <c r="U10" s="33" t="s">
        <v>143</v>
      </c>
      <c r="V10" s="37">
        <v>2</v>
      </c>
      <c r="W10" s="37">
        <v>3</v>
      </c>
      <c r="X10" s="37">
        <v>3</v>
      </c>
      <c r="Y10" s="37">
        <v>3</v>
      </c>
      <c r="Z10" s="37">
        <v>2</v>
      </c>
      <c r="AA10" s="37">
        <v>3</v>
      </c>
      <c r="AB10" s="38">
        <f t="shared" si="0"/>
        <v>16</v>
      </c>
      <c r="AC10" s="39" t="s">
        <v>144</v>
      </c>
    </row>
    <row r="11" spans="1:29" ht="67.5" customHeight="1" x14ac:dyDescent="0.2">
      <c r="A11" s="32" t="s">
        <v>419</v>
      </c>
      <c r="B11" s="33" t="s">
        <v>420</v>
      </c>
      <c r="C11" s="41" t="s">
        <v>421</v>
      </c>
      <c r="D11" s="33" t="s">
        <v>164</v>
      </c>
      <c r="E11" s="33" t="s">
        <v>240</v>
      </c>
      <c r="F11" s="33" t="s">
        <v>133</v>
      </c>
      <c r="G11" s="33" t="s">
        <v>422</v>
      </c>
      <c r="H11" s="33" t="s">
        <v>423</v>
      </c>
      <c r="I11" s="36" t="s">
        <v>137</v>
      </c>
      <c r="J11" s="36" t="s">
        <v>137</v>
      </c>
      <c r="K11" s="36" t="s">
        <v>137</v>
      </c>
      <c r="L11" s="36" t="s">
        <v>137</v>
      </c>
      <c r="M11" s="35" t="s">
        <v>136</v>
      </c>
      <c r="N11" s="36" t="s">
        <v>137</v>
      </c>
      <c r="O11" s="35" t="s">
        <v>136</v>
      </c>
      <c r="P11" s="33" t="s">
        <v>152</v>
      </c>
      <c r="Q11" s="33" t="s">
        <v>139</v>
      </c>
      <c r="R11" s="33" t="s">
        <v>140</v>
      </c>
      <c r="S11" s="33" t="s">
        <v>141</v>
      </c>
      <c r="T11" s="33" t="s">
        <v>142</v>
      </c>
      <c r="U11" s="33" t="s">
        <v>143</v>
      </c>
      <c r="V11" s="37">
        <v>3</v>
      </c>
      <c r="W11" s="37">
        <v>3</v>
      </c>
      <c r="X11" s="37">
        <v>3</v>
      </c>
      <c r="Y11" s="37">
        <v>3</v>
      </c>
      <c r="Z11" s="37">
        <v>3</v>
      </c>
      <c r="AA11" s="37">
        <v>3</v>
      </c>
      <c r="AB11" s="38">
        <f t="shared" si="0"/>
        <v>18</v>
      </c>
      <c r="AC11" s="39" t="s">
        <v>144</v>
      </c>
    </row>
    <row r="12" spans="1:29" ht="67.5" customHeight="1" x14ac:dyDescent="0.2">
      <c r="A12" s="32" t="s">
        <v>424</v>
      </c>
      <c r="B12" s="33" t="s">
        <v>425</v>
      </c>
      <c r="C12" s="41" t="s">
        <v>426</v>
      </c>
      <c r="D12" s="33" t="s">
        <v>330</v>
      </c>
      <c r="E12" s="33" t="s">
        <v>187</v>
      </c>
      <c r="F12" s="33" t="s">
        <v>133</v>
      </c>
      <c r="G12" s="33" t="s">
        <v>427</v>
      </c>
      <c r="H12" s="33" t="s">
        <v>428</v>
      </c>
      <c r="I12" s="36" t="s">
        <v>137</v>
      </c>
      <c r="J12" s="36" t="s">
        <v>137</v>
      </c>
      <c r="K12" s="36" t="s">
        <v>137</v>
      </c>
      <c r="L12" s="36" t="s">
        <v>137</v>
      </c>
      <c r="M12" s="35" t="s">
        <v>136</v>
      </c>
      <c r="N12" s="36" t="s">
        <v>137</v>
      </c>
      <c r="O12" s="36" t="s">
        <v>137</v>
      </c>
      <c r="P12" s="33" t="s">
        <v>152</v>
      </c>
      <c r="Q12" s="33" t="s">
        <v>139</v>
      </c>
      <c r="R12" s="33" t="s">
        <v>140</v>
      </c>
      <c r="S12" s="33" t="s">
        <v>141</v>
      </c>
      <c r="T12" s="33" t="s">
        <v>142</v>
      </c>
      <c r="U12" s="33" t="s">
        <v>168</v>
      </c>
      <c r="V12" s="37">
        <v>3</v>
      </c>
      <c r="W12" s="37">
        <v>3</v>
      </c>
      <c r="X12" s="37">
        <v>3</v>
      </c>
      <c r="Y12" s="37">
        <v>3</v>
      </c>
      <c r="Z12" s="37">
        <v>3</v>
      </c>
      <c r="AA12" s="37">
        <v>2</v>
      </c>
      <c r="AB12" s="38">
        <f t="shared" si="0"/>
        <v>17</v>
      </c>
      <c r="AC12" s="39" t="s">
        <v>144</v>
      </c>
    </row>
    <row r="13" spans="1:29" ht="67.5" customHeight="1" x14ac:dyDescent="0.2">
      <c r="A13" s="32" t="s">
        <v>429</v>
      </c>
      <c r="B13" s="33" t="s">
        <v>430</v>
      </c>
      <c r="C13" s="41" t="s">
        <v>431</v>
      </c>
      <c r="D13" s="33" t="s">
        <v>164</v>
      </c>
      <c r="E13" s="33" t="s">
        <v>132</v>
      </c>
      <c r="F13" s="33" t="s">
        <v>133</v>
      </c>
      <c r="G13" s="33" t="s">
        <v>432</v>
      </c>
      <c r="H13" s="33" t="s">
        <v>433</v>
      </c>
      <c r="I13" s="36" t="s">
        <v>137</v>
      </c>
      <c r="J13" s="35" t="s">
        <v>136</v>
      </c>
      <c r="K13" s="36" t="s">
        <v>137</v>
      </c>
      <c r="L13" s="35" t="s">
        <v>136</v>
      </c>
      <c r="M13" s="35" t="s">
        <v>136</v>
      </c>
      <c r="N13" s="36" t="s">
        <v>137</v>
      </c>
      <c r="O13" s="36" t="s">
        <v>137</v>
      </c>
      <c r="P13" s="33" t="s">
        <v>152</v>
      </c>
      <c r="Q13" s="33" t="s">
        <v>139</v>
      </c>
      <c r="R13" s="33" t="s">
        <v>140</v>
      </c>
      <c r="S13" s="33" t="s">
        <v>153</v>
      </c>
      <c r="T13" s="33" t="s">
        <v>142</v>
      </c>
      <c r="U13" s="33" t="s">
        <v>168</v>
      </c>
      <c r="V13" s="37">
        <v>3</v>
      </c>
      <c r="W13" s="37">
        <v>3</v>
      </c>
      <c r="X13" s="37">
        <v>3</v>
      </c>
      <c r="Y13" s="37">
        <v>2</v>
      </c>
      <c r="Z13" s="37">
        <v>3</v>
      </c>
      <c r="AA13" s="37">
        <v>2</v>
      </c>
      <c r="AB13" s="38">
        <f t="shared" si="0"/>
        <v>16</v>
      </c>
      <c r="AC13" s="39" t="s">
        <v>144</v>
      </c>
    </row>
    <row r="14" spans="1:29" ht="67.5" customHeight="1" x14ac:dyDescent="0.2">
      <c r="A14" s="32" t="s">
        <v>434</v>
      </c>
      <c r="B14" s="33" t="s">
        <v>435</v>
      </c>
      <c r="C14" s="41" t="s">
        <v>436</v>
      </c>
      <c r="D14" s="33" t="s">
        <v>239</v>
      </c>
      <c r="E14" s="33" t="s">
        <v>240</v>
      </c>
      <c r="F14" s="33" t="s">
        <v>133</v>
      </c>
      <c r="G14" s="33" t="s">
        <v>437</v>
      </c>
      <c r="H14" s="33" t="s">
        <v>438</v>
      </c>
      <c r="I14" s="36" t="s">
        <v>137</v>
      </c>
      <c r="J14" s="36" t="s">
        <v>137</v>
      </c>
      <c r="K14" s="36" t="s">
        <v>137</v>
      </c>
      <c r="L14" s="35" t="s">
        <v>136</v>
      </c>
      <c r="M14" s="35" t="s">
        <v>136</v>
      </c>
      <c r="N14" s="36" t="s">
        <v>137</v>
      </c>
      <c r="O14" s="36" t="s">
        <v>137</v>
      </c>
      <c r="P14" s="33" t="s">
        <v>152</v>
      </c>
      <c r="Q14" s="33" t="s">
        <v>139</v>
      </c>
      <c r="R14" s="33" t="s">
        <v>182</v>
      </c>
      <c r="S14" s="33" t="s">
        <v>141</v>
      </c>
      <c r="T14" s="33" t="s">
        <v>142</v>
      </c>
      <c r="U14" s="33" t="s">
        <v>143</v>
      </c>
      <c r="V14" s="37">
        <v>3</v>
      </c>
      <c r="W14" s="37">
        <v>3</v>
      </c>
      <c r="X14" s="37">
        <v>2</v>
      </c>
      <c r="Y14" s="37">
        <v>3</v>
      </c>
      <c r="Z14" s="37">
        <v>3</v>
      </c>
      <c r="AA14" s="37">
        <v>3</v>
      </c>
      <c r="AB14" s="38">
        <f t="shared" si="0"/>
        <v>17</v>
      </c>
      <c r="AC14" s="39" t="s">
        <v>144</v>
      </c>
    </row>
    <row r="15" spans="1:29" ht="67.5" customHeight="1" x14ac:dyDescent="0.2">
      <c r="A15" s="32" t="s">
        <v>439</v>
      </c>
      <c r="B15" s="33" t="s">
        <v>440</v>
      </c>
      <c r="C15" s="41" t="s">
        <v>441</v>
      </c>
      <c r="D15" s="33" t="s">
        <v>239</v>
      </c>
      <c r="E15" s="33" t="s">
        <v>240</v>
      </c>
      <c r="F15" s="33" t="s">
        <v>133</v>
      </c>
      <c r="G15" s="33" t="s">
        <v>442</v>
      </c>
      <c r="H15" s="33" t="s">
        <v>443</v>
      </c>
      <c r="I15" s="36" t="s">
        <v>137</v>
      </c>
      <c r="J15" s="36" t="s">
        <v>137</v>
      </c>
      <c r="K15" s="36" t="s">
        <v>137</v>
      </c>
      <c r="L15" s="36" t="s">
        <v>137</v>
      </c>
      <c r="M15" s="35" t="s">
        <v>136</v>
      </c>
      <c r="N15" s="36" t="s">
        <v>137</v>
      </c>
      <c r="O15" s="36" t="s">
        <v>137</v>
      </c>
      <c r="P15" s="33" t="s">
        <v>152</v>
      </c>
      <c r="Q15" s="33" t="s">
        <v>139</v>
      </c>
      <c r="R15" s="33" t="s">
        <v>182</v>
      </c>
      <c r="S15" s="33" t="s">
        <v>141</v>
      </c>
      <c r="T15" s="33" t="s">
        <v>142</v>
      </c>
      <c r="U15" s="33" t="s">
        <v>143</v>
      </c>
      <c r="V15" s="37">
        <v>3</v>
      </c>
      <c r="W15" s="37">
        <v>3</v>
      </c>
      <c r="X15" s="37">
        <v>2</v>
      </c>
      <c r="Y15" s="37">
        <v>3</v>
      </c>
      <c r="Z15" s="37">
        <v>3</v>
      </c>
      <c r="AA15" s="37">
        <v>3</v>
      </c>
      <c r="AB15" s="38">
        <f t="shared" si="0"/>
        <v>17</v>
      </c>
      <c r="AC15" s="39" t="s">
        <v>144</v>
      </c>
    </row>
    <row r="16" spans="1:29" ht="67.5" customHeight="1" x14ac:dyDescent="0.2">
      <c r="A16" s="32" t="s">
        <v>444</v>
      </c>
      <c r="B16" s="33" t="s">
        <v>445</v>
      </c>
      <c r="C16" s="41" t="s">
        <v>446</v>
      </c>
      <c r="D16" s="33" t="s">
        <v>447</v>
      </c>
      <c r="E16" s="33" t="s">
        <v>132</v>
      </c>
      <c r="F16" s="33" t="s">
        <v>133</v>
      </c>
      <c r="G16" s="33" t="s">
        <v>448</v>
      </c>
      <c r="H16" s="33" t="s">
        <v>449</v>
      </c>
      <c r="I16" s="36" t="s">
        <v>137</v>
      </c>
      <c r="J16" s="36" t="s">
        <v>137</v>
      </c>
      <c r="K16" s="36" t="s">
        <v>137</v>
      </c>
      <c r="L16" s="36" t="s">
        <v>137</v>
      </c>
      <c r="M16" s="35" t="s">
        <v>136</v>
      </c>
      <c r="N16" s="35" t="s">
        <v>136</v>
      </c>
      <c r="O16" s="35" t="s">
        <v>136</v>
      </c>
      <c r="P16" s="33" t="s">
        <v>152</v>
      </c>
      <c r="Q16" s="33" t="s">
        <v>139</v>
      </c>
      <c r="R16" s="33" t="s">
        <v>182</v>
      </c>
      <c r="S16" s="33" t="s">
        <v>153</v>
      </c>
      <c r="T16" s="33" t="s">
        <v>191</v>
      </c>
      <c r="U16" s="33" t="s">
        <v>143</v>
      </c>
      <c r="V16" s="37">
        <v>3</v>
      </c>
      <c r="W16" s="37">
        <v>3</v>
      </c>
      <c r="X16" s="37">
        <v>2</v>
      </c>
      <c r="Y16" s="37">
        <v>2</v>
      </c>
      <c r="Z16" s="37">
        <v>2</v>
      </c>
      <c r="AA16" s="37">
        <v>3</v>
      </c>
      <c r="AB16" s="38">
        <f t="shared" si="0"/>
        <v>15</v>
      </c>
      <c r="AC16" s="39" t="s">
        <v>144</v>
      </c>
    </row>
    <row r="17" spans="1:29" ht="67.5" customHeight="1" x14ac:dyDescent="0.2">
      <c r="A17" s="32" t="s">
        <v>450</v>
      </c>
      <c r="B17" s="33" t="s">
        <v>451</v>
      </c>
      <c r="C17" s="41" t="s">
        <v>452</v>
      </c>
      <c r="D17" s="33" t="s">
        <v>164</v>
      </c>
      <c r="E17" s="33" t="s">
        <v>132</v>
      </c>
      <c r="F17" s="33" t="s">
        <v>133</v>
      </c>
      <c r="G17" s="33" t="s">
        <v>453</v>
      </c>
      <c r="H17" s="33" t="s">
        <v>454</v>
      </c>
      <c r="I17" s="36" t="s">
        <v>137</v>
      </c>
      <c r="J17" s="36" t="s">
        <v>137</v>
      </c>
      <c r="K17" s="36" t="s">
        <v>137</v>
      </c>
      <c r="L17" s="36" t="s">
        <v>137</v>
      </c>
      <c r="M17" s="35" t="s">
        <v>136</v>
      </c>
      <c r="N17" s="36" t="s">
        <v>137</v>
      </c>
      <c r="O17" s="36" t="s">
        <v>137</v>
      </c>
      <c r="P17" s="33" t="s">
        <v>138</v>
      </c>
      <c r="Q17" s="33" t="s">
        <v>190</v>
      </c>
      <c r="R17" s="33" t="s">
        <v>182</v>
      </c>
      <c r="S17" s="33" t="s">
        <v>141</v>
      </c>
      <c r="T17" s="33" t="s">
        <v>191</v>
      </c>
      <c r="U17" s="33" t="s">
        <v>168</v>
      </c>
      <c r="V17" s="37">
        <v>2</v>
      </c>
      <c r="W17" s="37">
        <v>2</v>
      </c>
      <c r="X17" s="37">
        <v>2</v>
      </c>
      <c r="Y17" s="37">
        <v>3</v>
      </c>
      <c r="Z17" s="37">
        <v>2</v>
      </c>
      <c r="AA17" s="37">
        <v>2</v>
      </c>
      <c r="AB17" s="38">
        <f t="shared" si="0"/>
        <v>13</v>
      </c>
      <c r="AC17" s="39" t="s">
        <v>192</v>
      </c>
    </row>
    <row r="18" spans="1:29" ht="67.5" customHeight="1" x14ac:dyDescent="0.2">
      <c r="A18" s="32" t="s">
        <v>455</v>
      </c>
      <c r="B18" s="33" t="s">
        <v>456</v>
      </c>
      <c r="C18" s="41" t="s">
        <v>457</v>
      </c>
      <c r="D18" s="33" t="s">
        <v>293</v>
      </c>
      <c r="E18" s="33" t="s">
        <v>275</v>
      </c>
      <c r="F18" s="33" t="s">
        <v>133</v>
      </c>
      <c r="G18" s="33" t="s">
        <v>458</v>
      </c>
      <c r="H18" s="33" t="s">
        <v>459</v>
      </c>
      <c r="I18" s="36" t="s">
        <v>137</v>
      </c>
      <c r="J18" s="35" t="s">
        <v>136</v>
      </c>
      <c r="K18" s="36" t="s">
        <v>137</v>
      </c>
      <c r="L18" s="36" t="s">
        <v>137</v>
      </c>
      <c r="M18" s="35" t="s">
        <v>136</v>
      </c>
      <c r="N18" s="36" t="s">
        <v>137</v>
      </c>
      <c r="O18" s="35" t="s">
        <v>136</v>
      </c>
      <c r="P18" s="33" t="s">
        <v>138</v>
      </c>
      <c r="Q18" s="33" t="s">
        <v>139</v>
      </c>
      <c r="R18" s="33" t="s">
        <v>182</v>
      </c>
      <c r="S18" s="33" t="s">
        <v>141</v>
      </c>
      <c r="T18" s="33" t="s">
        <v>142</v>
      </c>
      <c r="U18" s="33" t="s">
        <v>143</v>
      </c>
      <c r="V18" s="37">
        <v>2</v>
      </c>
      <c r="W18" s="37">
        <v>3</v>
      </c>
      <c r="X18" s="37">
        <v>2</v>
      </c>
      <c r="Y18" s="37">
        <v>3</v>
      </c>
      <c r="Z18" s="37">
        <v>3</v>
      </c>
      <c r="AA18" s="37">
        <v>3</v>
      </c>
      <c r="AB18" s="38">
        <f t="shared" si="0"/>
        <v>16</v>
      </c>
      <c r="AC18" s="39" t="s">
        <v>144</v>
      </c>
    </row>
    <row r="19" spans="1:29" ht="67.5" customHeight="1" x14ac:dyDescent="0.2">
      <c r="A19" s="32" t="s">
        <v>460</v>
      </c>
      <c r="B19" s="33" t="s">
        <v>461</v>
      </c>
      <c r="C19" s="41" t="s">
        <v>462</v>
      </c>
      <c r="D19" s="33" t="s">
        <v>463</v>
      </c>
      <c r="E19" s="33" t="s">
        <v>275</v>
      </c>
      <c r="F19" s="33" t="s">
        <v>133</v>
      </c>
      <c r="G19" s="33" t="s">
        <v>464</v>
      </c>
      <c r="H19" s="33" t="s">
        <v>465</v>
      </c>
      <c r="I19" s="36" t="s">
        <v>137</v>
      </c>
      <c r="J19" s="36" t="s">
        <v>137</v>
      </c>
      <c r="K19" s="36" t="s">
        <v>137</v>
      </c>
      <c r="L19" s="36" t="s">
        <v>137</v>
      </c>
      <c r="M19" s="35" t="s">
        <v>136</v>
      </c>
      <c r="N19" s="35" t="s">
        <v>136</v>
      </c>
      <c r="O19" s="35" t="s">
        <v>136</v>
      </c>
      <c r="P19" s="33" t="s">
        <v>152</v>
      </c>
      <c r="Q19" s="33" t="s">
        <v>139</v>
      </c>
      <c r="R19" s="33" t="s">
        <v>140</v>
      </c>
      <c r="S19" s="33" t="s">
        <v>153</v>
      </c>
      <c r="T19" s="33" t="s">
        <v>142</v>
      </c>
      <c r="U19" s="33" t="s">
        <v>143</v>
      </c>
      <c r="V19" s="37">
        <v>3</v>
      </c>
      <c r="W19" s="37">
        <v>3</v>
      </c>
      <c r="X19" s="37">
        <v>3</v>
      </c>
      <c r="Y19" s="37">
        <v>2</v>
      </c>
      <c r="Z19" s="37">
        <v>3</v>
      </c>
      <c r="AA19" s="37">
        <v>3</v>
      </c>
      <c r="AB19" s="38">
        <f t="shared" si="0"/>
        <v>17</v>
      </c>
      <c r="AC19" s="39" t="s">
        <v>144</v>
      </c>
    </row>
  </sheetData>
  <autoFilter ref="A4:AC19" xr:uid="{00000000-0009-0000-0000-000004000000}"/>
  <mergeCells count="6">
    <mergeCell ref="A1:AC1"/>
    <mergeCell ref="A2:AC2"/>
    <mergeCell ref="A3:H3"/>
    <mergeCell ref="I3:O3"/>
    <mergeCell ref="P3:U3"/>
    <mergeCell ref="V3:AC3"/>
  </mergeCells>
  <dataValidations count="7">
    <dataValidation type="list" allowBlank="1" sqref="U5:U19" xr:uid="{00000000-0002-0000-0400-000000000000}">
      <formula1>"High – Global Reach,Medium – National / Regional Reach,Low – Local Reach"</formula1>
      <formula2>0</formula2>
    </dataValidation>
    <dataValidation type="list" allowBlank="1" sqref="T5:T19" xr:uid="{00000000-0002-0000-0400-000001000000}">
      <formula1>"High – Global / Leading Organization,Medium – Established Sector Organization,Low – Emerging / Independent Organizer"</formula1>
      <formula2>0</formula2>
    </dataValidation>
    <dataValidation type="list" allowBlank="1" sqref="S5:S19" xr:uid="{00000000-0002-0000-0400-000002000000}">
      <formula1>"High – Senior Leaders / Decision-Makers,Medium – Field Experts / Professionals,Low – Emerging / General Profiles"</formula1>
      <formula2>0</formula2>
    </dataValidation>
    <dataValidation type="list" allowBlank="1" sqref="R5:R19" xr:uid="{00000000-0002-0000-0400-000003000000}">
      <formula1>"High – Large Event (1,000+ participants),Medium – Mid-size Event (300–1,000 participants),Low – Small Event (&lt;300 participants)"</formula1>
      <formula2>0</formula2>
    </dataValidation>
    <dataValidation type="list" allowBlank="1" sqref="Q5:Q19" xr:uid="{00000000-0002-0000-0400-000004000000}">
      <formula1>"High – International Recognition,Medium – Sector/National Recognition,Low – Emerging/Niche Recognition"</formula1>
      <formula2>0</formula2>
    </dataValidation>
    <dataValidation type="list" allowBlank="1" sqref="P5:P19" xr:uid="{00000000-0002-0000-0400-000005000000}">
      <formula1>"High – Long-established Event (10+ years),Medium – Established Event (3–9 years),Low – New / Emerging Event (&lt;3 years)"</formula1>
      <formula2>0</formula2>
    </dataValidation>
    <dataValidation type="list" allowBlank="1" sqref="I5:O19" xr:uid="{00000000-0002-0000-0400-000006000000}">
      <formula1>"Yes,No"</formula1>
      <formula2>0</formula2>
    </dataValidation>
  </dataValidation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AC11"/>
  <sheetViews>
    <sheetView zoomScale="85" zoomScaleNormal="85" workbookViewId="0">
      <pane xSplit="1" ySplit="4" topLeftCell="B5" activePane="bottomRight" state="frozen"/>
      <selection pane="topRight" activeCell="B1" sqref="B1"/>
      <selection pane="bottomLeft" activeCell="A5" sqref="A5"/>
      <selection pane="bottomRight" activeCell="A5" sqref="A5"/>
    </sheetView>
  </sheetViews>
  <sheetFormatPr baseColWidth="10" defaultColWidth="10.6640625" defaultRowHeight="15" x14ac:dyDescent="0.2"/>
  <cols>
    <col min="1" max="1" width="32" customWidth="1"/>
    <col min="2" max="2" width="46" customWidth="1"/>
    <col min="3" max="3" width="24" customWidth="1"/>
    <col min="4" max="4" width="20" customWidth="1"/>
    <col min="5" max="5" width="12" customWidth="1"/>
    <col min="6" max="6" width="11" customWidth="1"/>
    <col min="7" max="7" width="24" customWidth="1"/>
    <col min="8" max="8" width="32" customWidth="1"/>
    <col min="9" max="15" width="11" customWidth="1"/>
    <col min="16" max="21" width="24" customWidth="1"/>
    <col min="22" max="27" width="8.5" customWidth="1"/>
    <col min="28" max="28" width="9" customWidth="1"/>
    <col min="29" max="29" width="24" customWidth="1"/>
  </cols>
  <sheetData>
    <row r="1" spans="1:29" ht="33.75" customHeight="1" x14ac:dyDescent="0.2">
      <c r="A1" s="13" t="s">
        <v>98</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row>
    <row r="2" spans="1:29" ht="19.5" customHeight="1" x14ac:dyDescent="0.2">
      <c r="A2" s="12" t="s">
        <v>99</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row>
    <row r="3" spans="1:29" ht="19.5" customHeight="1" x14ac:dyDescent="0.2">
      <c r="A3" s="11" t="s">
        <v>100</v>
      </c>
      <c r="B3" s="11"/>
      <c r="C3" s="11"/>
      <c r="D3" s="11"/>
      <c r="E3" s="11"/>
      <c r="F3" s="11"/>
      <c r="G3" s="11"/>
      <c r="H3" s="11"/>
      <c r="I3" s="11" t="s">
        <v>101</v>
      </c>
      <c r="J3" s="11"/>
      <c r="K3" s="11"/>
      <c r="L3" s="11"/>
      <c r="M3" s="11"/>
      <c r="N3" s="11"/>
      <c r="O3" s="11"/>
      <c r="P3" s="10" t="s">
        <v>102</v>
      </c>
      <c r="Q3" s="10"/>
      <c r="R3" s="10"/>
      <c r="S3" s="10"/>
      <c r="T3" s="10"/>
      <c r="U3" s="10"/>
      <c r="V3" s="9" t="s">
        <v>103</v>
      </c>
      <c r="W3" s="9"/>
      <c r="X3" s="9"/>
      <c r="Y3" s="9"/>
      <c r="Z3" s="9"/>
      <c r="AA3" s="9"/>
      <c r="AB3" s="9"/>
      <c r="AC3" s="9"/>
    </row>
    <row r="4" spans="1:29" ht="43.5" customHeight="1" x14ac:dyDescent="0.2">
      <c r="A4" s="28" t="s">
        <v>2</v>
      </c>
      <c r="B4" s="28" t="s">
        <v>4</v>
      </c>
      <c r="C4" s="28" t="s">
        <v>104</v>
      </c>
      <c r="D4" s="28" t="s">
        <v>5</v>
      </c>
      <c r="E4" s="28" t="s">
        <v>105</v>
      </c>
      <c r="F4" s="28" t="s">
        <v>106</v>
      </c>
      <c r="G4" s="28" t="s">
        <v>7</v>
      </c>
      <c r="H4" s="28" t="s">
        <v>9</v>
      </c>
      <c r="I4" s="28" t="s">
        <v>107</v>
      </c>
      <c r="J4" s="28" t="s">
        <v>108</v>
      </c>
      <c r="K4" s="28" t="s">
        <v>109</v>
      </c>
      <c r="L4" s="28" t="s">
        <v>110</v>
      </c>
      <c r="M4" s="28" t="s">
        <v>111</v>
      </c>
      <c r="N4" s="28" t="s">
        <v>112</v>
      </c>
      <c r="O4" s="28" t="s">
        <v>113</v>
      </c>
      <c r="P4" s="29" t="s">
        <v>114</v>
      </c>
      <c r="Q4" s="29" t="s">
        <v>115</v>
      </c>
      <c r="R4" s="29" t="s">
        <v>116</v>
      </c>
      <c r="S4" s="29" t="s">
        <v>117</v>
      </c>
      <c r="T4" s="29" t="s">
        <v>118</v>
      </c>
      <c r="U4" s="29" t="s">
        <v>119</v>
      </c>
      <c r="V4" s="30" t="s">
        <v>120</v>
      </c>
      <c r="W4" s="30" t="s">
        <v>121</v>
      </c>
      <c r="X4" s="30" t="s">
        <v>122</v>
      </c>
      <c r="Y4" s="30" t="s">
        <v>123</v>
      </c>
      <c r="Z4" s="30" t="s">
        <v>124</v>
      </c>
      <c r="AA4" s="30" t="s">
        <v>125</v>
      </c>
      <c r="AB4" s="31" t="s">
        <v>126</v>
      </c>
      <c r="AC4" s="31" t="s">
        <v>127</v>
      </c>
    </row>
    <row r="5" spans="1:29" ht="19.5" customHeight="1" x14ac:dyDescent="0.2">
      <c r="A5" s="4" t="s">
        <v>466</v>
      </c>
      <c r="B5" s="4"/>
      <c r="C5" s="4"/>
      <c r="D5" s="4"/>
      <c r="E5" s="4"/>
      <c r="F5" s="4"/>
      <c r="G5" s="4"/>
      <c r="H5" s="4"/>
      <c r="I5" s="4"/>
      <c r="J5" s="4"/>
      <c r="K5" s="4"/>
      <c r="L5" s="4"/>
      <c r="M5" s="4"/>
      <c r="N5" s="4"/>
      <c r="O5" s="4"/>
      <c r="P5" s="4"/>
      <c r="Q5" s="4"/>
      <c r="R5" s="4"/>
      <c r="S5" s="4"/>
      <c r="T5" s="4"/>
      <c r="U5" s="4"/>
      <c r="V5" s="4"/>
      <c r="W5" s="4"/>
      <c r="X5" s="4"/>
      <c r="Y5" s="4"/>
      <c r="Z5" s="4"/>
      <c r="AA5" s="4"/>
      <c r="AB5" s="4"/>
      <c r="AC5" s="4"/>
    </row>
    <row r="6" spans="1:29" ht="67.5" customHeight="1" x14ac:dyDescent="0.2">
      <c r="A6" s="32" t="s">
        <v>467</v>
      </c>
      <c r="B6" s="33" t="s">
        <v>468</v>
      </c>
      <c r="C6" s="41" t="s">
        <v>469</v>
      </c>
      <c r="D6" s="33" t="s">
        <v>228</v>
      </c>
      <c r="E6" s="33" t="s">
        <v>165</v>
      </c>
      <c r="F6" s="33" t="s">
        <v>470</v>
      </c>
      <c r="G6" s="33" t="s">
        <v>471</v>
      </c>
      <c r="H6" s="33" t="s">
        <v>472</v>
      </c>
      <c r="I6" s="36" t="s">
        <v>137</v>
      </c>
      <c r="J6" s="36" t="s">
        <v>137</v>
      </c>
      <c r="K6" s="36" t="s">
        <v>137</v>
      </c>
      <c r="L6" s="35" t="s">
        <v>136</v>
      </c>
      <c r="M6" s="35" t="s">
        <v>136</v>
      </c>
      <c r="N6" s="35" t="s">
        <v>136</v>
      </c>
      <c r="O6" s="36" t="s">
        <v>137</v>
      </c>
      <c r="P6" s="33" t="s">
        <v>152</v>
      </c>
      <c r="Q6" s="33" t="s">
        <v>139</v>
      </c>
      <c r="R6" s="33" t="s">
        <v>140</v>
      </c>
      <c r="S6" s="33" t="s">
        <v>141</v>
      </c>
      <c r="T6" s="33" t="s">
        <v>142</v>
      </c>
      <c r="U6" s="33" t="s">
        <v>143</v>
      </c>
      <c r="V6" s="37">
        <v>3</v>
      </c>
      <c r="W6" s="37">
        <v>3</v>
      </c>
      <c r="X6" s="37">
        <v>3</v>
      </c>
      <c r="Y6" s="37">
        <v>3</v>
      </c>
      <c r="Z6" s="37">
        <v>3</v>
      </c>
      <c r="AA6" s="37">
        <v>3</v>
      </c>
      <c r="AB6" s="38">
        <f t="shared" ref="AB6:AB11" si="0">SUM(V6:AA6)</f>
        <v>18</v>
      </c>
      <c r="AC6" s="39" t="s">
        <v>144</v>
      </c>
    </row>
    <row r="7" spans="1:29" ht="67.5" customHeight="1" x14ac:dyDescent="0.2">
      <c r="A7" s="32" t="s">
        <v>473</v>
      </c>
      <c r="B7" s="33" t="s">
        <v>474</v>
      </c>
      <c r="C7" s="41" t="s">
        <v>475</v>
      </c>
      <c r="D7" s="33" t="s">
        <v>164</v>
      </c>
      <c r="E7" s="33" t="s">
        <v>158</v>
      </c>
      <c r="F7" s="33" t="s">
        <v>133</v>
      </c>
      <c r="G7" s="33" t="s">
        <v>476</v>
      </c>
      <c r="H7" s="33" t="s">
        <v>477</v>
      </c>
      <c r="I7" s="36" t="s">
        <v>137</v>
      </c>
      <c r="J7" s="35" t="s">
        <v>136</v>
      </c>
      <c r="K7" s="36" t="s">
        <v>137</v>
      </c>
      <c r="L7" s="36" t="s">
        <v>137</v>
      </c>
      <c r="M7" s="36" t="s">
        <v>137</v>
      </c>
      <c r="N7" s="35" t="s">
        <v>136</v>
      </c>
      <c r="O7" s="35" t="s">
        <v>136</v>
      </c>
      <c r="P7" s="33" t="s">
        <v>152</v>
      </c>
      <c r="Q7" s="33" t="s">
        <v>139</v>
      </c>
      <c r="R7" s="33" t="s">
        <v>140</v>
      </c>
      <c r="S7" s="33" t="s">
        <v>153</v>
      </c>
      <c r="T7" s="33" t="s">
        <v>142</v>
      </c>
      <c r="U7" s="33" t="s">
        <v>143</v>
      </c>
      <c r="V7" s="37">
        <v>3</v>
      </c>
      <c r="W7" s="37">
        <v>3</v>
      </c>
      <c r="X7" s="37">
        <v>3</v>
      </c>
      <c r="Y7" s="37">
        <v>2</v>
      </c>
      <c r="Z7" s="37">
        <v>3</v>
      </c>
      <c r="AA7" s="37">
        <v>3</v>
      </c>
      <c r="AB7" s="38">
        <f t="shared" si="0"/>
        <v>17</v>
      </c>
      <c r="AC7" s="39" t="s">
        <v>144</v>
      </c>
    </row>
    <row r="8" spans="1:29" ht="67.5" customHeight="1" x14ac:dyDescent="0.2">
      <c r="A8" s="32" t="s">
        <v>478</v>
      </c>
      <c r="B8" s="33" t="s">
        <v>479</v>
      </c>
      <c r="C8" s="41" t="s">
        <v>480</v>
      </c>
      <c r="D8" s="33" t="s">
        <v>293</v>
      </c>
      <c r="E8" s="33" t="s">
        <v>187</v>
      </c>
      <c r="F8" s="33" t="s">
        <v>133</v>
      </c>
      <c r="G8" s="33" t="s">
        <v>481</v>
      </c>
      <c r="H8" s="33" t="s">
        <v>482</v>
      </c>
      <c r="I8" s="36" t="s">
        <v>137</v>
      </c>
      <c r="J8" s="36" t="s">
        <v>137</v>
      </c>
      <c r="K8" s="36" t="s">
        <v>137</v>
      </c>
      <c r="L8" s="36" t="s">
        <v>137</v>
      </c>
      <c r="M8" s="35" t="s">
        <v>136</v>
      </c>
      <c r="N8" s="35" t="s">
        <v>136</v>
      </c>
      <c r="O8" s="35" t="s">
        <v>136</v>
      </c>
      <c r="P8" s="33" t="s">
        <v>138</v>
      </c>
      <c r="Q8" s="33" t="s">
        <v>190</v>
      </c>
      <c r="R8" s="33" t="s">
        <v>182</v>
      </c>
      <c r="S8" s="33" t="s">
        <v>141</v>
      </c>
      <c r="T8" s="33" t="s">
        <v>191</v>
      </c>
      <c r="U8" s="33" t="s">
        <v>168</v>
      </c>
      <c r="V8" s="37">
        <v>2</v>
      </c>
      <c r="W8" s="37">
        <v>2</v>
      </c>
      <c r="X8" s="37">
        <v>2</v>
      </c>
      <c r="Y8" s="37">
        <v>3</v>
      </c>
      <c r="Z8" s="37">
        <v>2</v>
      </c>
      <c r="AA8" s="37">
        <v>2</v>
      </c>
      <c r="AB8" s="38">
        <f t="shared" si="0"/>
        <v>13</v>
      </c>
      <c r="AC8" s="39" t="s">
        <v>192</v>
      </c>
    </row>
    <row r="9" spans="1:29" ht="67.5" customHeight="1" x14ac:dyDescent="0.2">
      <c r="A9" s="32" t="s">
        <v>483</v>
      </c>
      <c r="B9" s="33" t="s">
        <v>484</v>
      </c>
      <c r="C9" s="41" t="s">
        <v>485</v>
      </c>
      <c r="D9" s="33" t="s">
        <v>486</v>
      </c>
      <c r="E9" s="33" t="s">
        <v>215</v>
      </c>
      <c r="F9" s="33" t="s">
        <v>133</v>
      </c>
      <c r="G9" s="33" t="s">
        <v>487</v>
      </c>
      <c r="H9" s="33" t="s">
        <v>488</v>
      </c>
      <c r="I9" s="36" t="s">
        <v>137</v>
      </c>
      <c r="J9" s="36" t="s">
        <v>137</v>
      </c>
      <c r="K9" s="36" t="s">
        <v>137</v>
      </c>
      <c r="L9" s="36" t="s">
        <v>137</v>
      </c>
      <c r="M9" s="36" t="s">
        <v>137</v>
      </c>
      <c r="N9" s="35" t="s">
        <v>136</v>
      </c>
      <c r="O9" s="36" t="s">
        <v>137</v>
      </c>
      <c r="P9" s="33" t="s">
        <v>152</v>
      </c>
      <c r="Q9" s="33" t="s">
        <v>190</v>
      </c>
      <c r="R9" s="33" t="s">
        <v>182</v>
      </c>
      <c r="S9" s="33" t="s">
        <v>153</v>
      </c>
      <c r="T9" s="33" t="s">
        <v>191</v>
      </c>
      <c r="U9" s="33" t="s">
        <v>168</v>
      </c>
      <c r="V9" s="37">
        <v>3</v>
      </c>
      <c r="W9" s="37">
        <v>2</v>
      </c>
      <c r="X9" s="37">
        <v>2</v>
      </c>
      <c r="Y9" s="37">
        <v>2</v>
      </c>
      <c r="Z9" s="37">
        <v>2</v>
      </c>
      <c r="AA9" s="37">
        <v>2</v>
      </c>
      <c r="AB9" s="38">
        <f t="shared" si="0"/>
        <v>13</v>
      </c>
      <c r="AC9" s="39" t="s">
        <v>192</v>
      </c>
    </row>
    <row r="10" spans="1:29" ht="67.5" customHeight="1" x14ac:dyDescent="0.2">
      <c r="A10" s="32" t="s">
        <v>489</v>
      </c>
      <c r="B10" s="33" t="s">
        <v>490</v>
      </c>
      <c r="C10" s="41" t="s">
        <v>491</v>
      </c>
      <c r="D10" s="33" t="s">
        <v>239</v>
      </c>
      <c r="E10" s="33" t="s">
        <v>240</v>
      </c>
      <c r="F10" s="33" t="s">
        <v>133</v>
      </c>
      <c r="G10" s="33" t="s">
        <v>492</v>
      </c>
      <c r="H10" s="33" t="s">
        <v>493</v>
      </c>
      <c r="I10" s="36" t="s">
        <v>137</v>
      </c>
      <c r="J10" s="36" t="s">
        <v>137</v>
      </c>
      <c r="K10" s="36" t="s">
        <v>137</v>
      </c>
      <c r="L10" s="36" t="s">
        <v>137</v>
      </c>
      <c r="M10" s="35" t="s">
        <v>136</v>
      </c>
      <c r="N10" s="35" t="s">
        <v>136</v>
      </c>
      <c r="O10" s="35" t="s">
        <v>136</v>
      </c>
      <c r="P10" s="33" t="s">
        <v>138</v>
      </c>
      <c r="Q10" s="33" t="s">
        <v>190</v>
      </c>
      <c r="R10" s="33" t="s">
        <v>252</v>
      </c>
      <c r="S10" s="33" t="s">
        <v>141</v>
      </c>
      <c r="T10" s="33" t="s">
        <v>191</v>
      </c>
      <c r="U10" s="33" t="s">
        <v>143</v>
      </c>
      <c r="V10" s="37">
        <v>2</v>
      </c>
      <c r="W10" s="37">
        <v>2</v>
      </c>
      <c r="X10" s="37">
        <v>1</v>
      </c>
      <c r="Y10" s="37">
        <v>3</v>
      </c>
      <c r="Z10" s="37">
        <v>2</v>
      </c>
      <c r="AA10" s="37">
        <v>3</v>
      </c>
      <c r="AB10" s="38">
        <f t="shared" si="0"/>
        <v>13</v>
      </c>
      <c r="AC10" s="39" t="s">
        <v>192</v>
      </c>
    </row>
    <row r="11" spans="1:29" ht="67.5" customHeight="1" x14ac:dyDescent="0.2">
      <c r="A11" s="32" t="s">
        <v>494</v>
      </c>
      <c r="B11" s="33" t="s">
        <v>495</v>
      </c>
      <c r="C11" s="41" t="s">
        <v>496</v>
      </c>
      <c r="D11" s="33" t="s">
        <v>497</v>
      </c>
      <c r="E11" s="33" t="s">
        <v>149</v>
      </c>
      <c r="F11" s="33" t="s">
        <v>133</v>
      </c>
      <c r="G11" s="33" t="s">
        <v>498</v>
      </c>
      <c r="H11" s="33" t="s">
        <v>499</v>
      </c>
      <c r="I11" s="36" t="s">
        <v>137</v>
      </c>
      <c r="J11" s="35" t="s">
        <v>136</v>
      </c>
      <c r="K11" s="36" t="s">
        <v>137</v>
      </c>
      <c r="L11" s="35" t="s">
        <v>136</v>
      </c>
      <c r="M11" s="36" t="s">
        <v>137</v>
      </c>
      <c r="N11" s="35" t="s">
        <v>136</v>
      </c>
      <c r="O11" s="35" t="s">
        <v>136</v>
      </c>
      <c r="P11" s="33" t="s">
        <v>152</v>
      </c>
      <c r="Q11" s="33" t="s">
        <v>139</v>
      </c>
      <c r="R11" s="33" t="s">
        <v>140</v>
      </c>
      <c r="S11" s="33" t="s">
        <v>153</v>
      </c>
      <c r="T11" s="33" t="s">
        <v>142</v>
      </c>
      <c r="U11" s="33" t="s">
        <v>143</v>
      </c>
      <c r="V11" s="37">
        <v>3</v>
      </c>
      <c r="W11" s="37">
        <v>3</v>
      </c>
      <c r="X11" s="37">
        <v>3</v>
      </c>
      <c r="Y11" s="37">
        <v>2</v>
      </c>
      <c r="Z11" s="37">
        <v>3</v>
      </c>
      <c r="AA11" s="37">
        <v>3</v>
      </c>
      <c r="AB11" s="38">
        <f t="shared" si="0"/>
        <v>17</v>
      </c>
      <c r="AC11" s="39" t="s">
        <v>144</v>
      </c>
    </row>
  </sheetData>
  <autoFilter ref="A4:AC11" xr:uid="{00000000-0009-0000-0000-000005000000}"/>
  <mergeCells count="7">
    <mergeCell ref="A5:AC5"/>
    <mergeCell ref="A1:AC1"/>
    <mergeCell ref="A2:AC2"/>
    <mergeCell ref="A3:H3"/>
    <mergeCell ref="I3:O3"/>
    <mergeCell ref="P3:U3"/>
    <mergeCell ref="V3:AC3"/>
  </mergeCells>
  <dataValidations count="7">
    <dataValidation type="list" allowBlank="1" sqref="U5:U11" xr:uid="{00000000-0002-0000-0500-000000000000}">
      <formula1>"High – Global Reach,Medium – National / Regional Reach,Low – Local Reach"</formula1>
      <formula2>0</formula2>
    </dataValidation>
    <dataValidation type="list" allowBlank="1" sqref="T5:T11" xr:uid="{00000000-0002-0000-0500-000001000000}">
      <formula1>"High – Global / Leading Organization,Medium – Established Sector Organization,Low – Emerging / Independent Organizer"</formula1>
      <formula2>0</formula2>
    </dataValidation>
    <dataValidation type="list" allowBlank="1" sqref="S5:S11" xr:uid="{00000000-0002-0000-0500-000002000000}">
      <formula1>"High – Senior Leaders / Decision-Makers,Medium – Field Experts / Professionals,Low – Emerging / General Profiles"</formula1>
      <formula2>0</formula2>
    </dataValidation>
    <dataValidation type="list" allowBlank="1" sqref="R5:R11" xr:uid="{00000000-0002-0000-0500-000003000000}">
      <formula1>"High – Large Event (1,000+ participants),Medium – Mid-size Event (300–1,000 participants),Low – Small Event (&lt;300 participants)"</formula1>
      <formula2>0</formula2>
    </dataValidation>
    <dataValidation type="list" allowBlank="1" sqref="Q5:Q11" xr:uid="{00000000-0002-0000-0500-000004000000}">
      <formula1>"High – International Recognition,Medium – Sector/National Recognition,Low – Emerging/Niche Recognition"</formula1>
      <formula2>0</formula2>
    </dataValidation>
    <dataValidation type="list" allowBlank="1" sqref="P5:P11" xr:uid="{00000000-0002-0000-0500-000005000000}">
      <formula1>"High – Long-established Event (10+ years),Medium – Established Event (3–9 years),Low – New / Emerging Event (&lt;3 years)"</formula1>
      <formula2>0</formula2>
    </dataValidation>
    <dataValidation type="list" allowBlank="1" sqref="I5:O11" xr:uid="{00000000-0002-0000-0500-000006000000}">
      <formula1>"Yes,No"</formula1>
      <formula2>0</formula2>
    </dataValidation>
  </dataValidation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sheetPr>
  <dimension ref="A1:AC10"/>
  <sheetViews>
    <sheetView zoomScale="85" zoomScaleNormal="85" workbookViewId="0">
      <pane xSplit="1" ySplit="4" topLeftCell="B5" activePane="bottomRight" state="frozen"/>
      <selection pane="topRight" activeCell="B1" sqref="B1"/>
      <selection pane="bottomLeft" activeCell="A5" sqref="A5"/>
      <selection pane="bottomRight" activeCell="A5" sqref="A5"/>
    </sheetView>
  </sheetViews>
  <sheetFormatPr baseColWidth="10" defaultColWidth="10.6640625" defaultRowHeight="15" x14ac:dyDescent="0.2"/>
  <cols>
    <col min="1" max="1" width="32" customWidth="1"/>
    <col min="2" max="2" width="46" customWidth="1"/>
    <col min="3" max="3" width="24" customWidth="1"/>
    <col min="4" max="4" width="20" customWidth="1"/>
    <col min="5" max="5" width="12" customWidth="1"/>
    <col min="6" max="6" width="11" customWidth="1"/>
    <col min="7" max="7" width="24" customWidth="1"/>
    <col min="8" max="8" width="32" customWidth="1"/>
    <col min="9" max="15" width="11" customWidth="1"/>
    <col min="16" max="21" width="24" customWidth="1"/>
    <col min="22" max="27" width="8.5" customWidth="1"/>
    <col min="28" max="28" width="9" customWidth="1"/>
    <col min="29" max="29" width="24" customWidth="1"/>
  </cols>
  <sheetData>
    <row r="1" spans="1:29" ht="33.75" customHeight="1" x14ac:dyDescent="0.2">
      <c r="A1" s="13" t="s">
        <v>98</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row>
    <row r="2" spans="1:29" ht="19.5" customHeight="1" x14ac:dyDescent="0.2">
      <c r="A2" s="12" t="s">
        <v>99</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row>
    <row r="3" spans="1:29" ht="19.5" customHeight="1" x14ac:dyDescent="0.2">
      <c r="A3" s="11" t="s">
        <v>100</v>
      </c>
      <c r="B3" s="11"/>
      <c r="C3" s="11"/>
      <c r="D3" s="11"/>
      <c r="E3" s="11"/>
      <c r="F3" s="11"/>
      <c r="G3" s="11"/>
      <c r="H3" s="11"/>
      <c r="I3" s="11" t="s">
        <v>101</v>
      </c>
      <c r="J3" s="11"/>
      <c r="K3" s="11"/>
      <c r="L3" s="11"/>
      <c r="M3" s="11"/>
      <c r="N3" s="11"/>
      <c r="O3" s="11"/>
      <c r="P3" s="10" t="s">
        <v>102</v>
      </c>
      <c r="Q3" s="10"/>
      <c r="R3" s="10"/>
      <c r="S3" s="10"/>
      <c r="T3" s="10"/>
      <c r="U3" s="10"/>
      <c r="V3" s="9" t="s">
        <v>103</v>
      </c>
      <c r="W3" s="9"/>
      <c r="X3" s="9"/>
      <c r="Y3" s="9"/>
      <c r="Z3" s="9"/>
      <c r="AA3" s="9"/>
      <c r="AB3" s="9"/>
      <c r="AC3" s="9"/>
    </row>
    <row r="4" spans="1:29" ht="43.5" customHeight="1" x14ac:dyDescent="0.2">
      <c r="A4" s="28" t="s">
        <v>2</v>
      </c>
      <c r="B4" s="28" t="s">
        <v>4</v>
      </c>
      <c r="C4" s="28" t="s">
        <v>104</v>
      </c>
      <c r="D4" s="28" t="s">
        <v>5</v>
      </c>
      <c r="E4" s="28" t="s">
        <v>105</v>
      </c>
      <c r="F4" s="28" t="s">
        <v>106</v>
      </c>
      <c r="G4" s="28" t="s">
        <v>7</v>
      </c>
      <c r="H4" s="28" t="s">
        <v>9</v>
      </c>
      <c r="I4" s="28" t="s">
        <v>107</v>
      </c>
      <c r="J4" s="28" t="s">
        <v>108</v>
      </c>
      <c r="K4" s="28" t="s">
        <v>109</v>
      </c>
      <c r="L4" s="28" t="s">
        <v>110</v>
      </c>
      <c r="M4" s="28" t="s">
        <v>111</v>
      </c>
      <c r="N4" s="28" t="s">
        <v>112</v>
      </c>
      <c r="O4" s="28" t="s">
        <v>113</v>
      </c>
      <c r="P4" s="29" t="s">
        <v>114</v>
      </c>
      <c r="Q4" s="29" t="s">
        <v>115</v>
      </c>
      <c r="R4" s="29" t="s">
        <v>116</v>
      </c>
      <c r="S4" s="29" t="s">
        <v>117</v>
      </c>
      <c r="T4" s="29" t="s">
        <v>118</v>
      </c>
      <c r="U4" s="29" t="s">
        <v>119</v>
      </c>
      <c r="V4" s="30" t="s">
        <v>120</v>
      </c>
      <c r="W4" s="30" t="s">
        <v>121</v>
      </c>
      <c r="X4" s="30" t="s">
        <v>122</v>
      </c>
      <c r="Y4" s="30" t="s">
        <v>123</v>
      </c>
      <c r="Z4" s="30" t="s">
        <v>124</v>
      </c>
      <c r="AA4" s="30" t="s">
        <v>125</v>
      </c>
      <c r="AB4" s="31" t="s">
        <v>126</v>
      </c>
      <c r="AC4" s="31" t="s">
        <v>127</v>
      </c>
    </row>
    <row r="5" spans="1:29" ht="67.5" customHeight="1" x14ac:dyDescent="0.2">
      <c r="A5" s="32" t="s">
        <v>500</v>
      </c>
      <c r="B5" s="33" t="s">
        <v>501</v>
      </c>
      <c r="C5" s="41" t="s">
        <v>502</v>
      </c>
      <c r="D5" s="33" t="s">
        <v>503</v>
      </c>
      <c r="E5" s="33" t="s">
        <v>187</v>
      </c>
      <c r="F5" s="33" t="s">
        <v>133</v>
      </c>
      <c r="G5" s="33" t="s">
        <v>504</v>
      </c>
      <c r="H5" s="33" t="s">
        <v>505</v>
      </c>
      <c r="I5" s="35" t="s">
        <v>136</v>
      </c>
      <c r="J5" s="36" t="s">
        <v>137</v>
      </c>
      <c r="K5" s="36" t="s">
        <v>137</v>
      </c>
      <c r="L5" s="36" t="s">
        <v>137</v>
      </c>
      <c r="M5" s="36" t="s">
        <v>137</v>
      </c>
      <c r="N5" s="36" t="s">
        <v>137</v>
      </c>
      <c r="O5" s="35" t="s">
        <v>136</v>
      </c>
      <c r="P5" s="33" t="s">
        <v>152</v>
      </c>
      <c r="Q5" s="33" t="s">
        <v>190</v>
      </c>
      <c r="R5" s="33" t="s">
        <v>182</v>
      </c>
      <c r="S5" s="33" t="s">
        <v>141</v>
      </c>
      <c r="T5" s="33" t="s">
        <v>191</v>
      </c>
      <c r="U5" s="33" t="s">
        <v>168</v>
      </c>
      <c r="V5" s="37">
        <v>3</v>
      </c>
      <c r="W5" s="37">
        <v>2</v>
      </c>
      <c r="X5" s="37">
        <v>2</v>
      </c>
      <c r="Y5" s="37">
        <v>3</v>
      </c>
      <c r="Z5" s="37">
        <v>2</v>
      </c>
      <c r="AA5" s="37">
        <v>2</v>
      </c>
      <c r="AB5" s="38">
        <f t="shared" ref="AB5:AB10" si="0">SUM(V5:AA5)</f>
        <v>14</v>
      </c>
      <c r="AC5" s="39" t="s">
        <v>192</v>
      </c>
    </row>
    <row r="6" spans="1:29" ht="67.5" customHeight="1" x14ac:dyDescent="0.2">
      <c r="A6" s="32" t="s">
        <v>506</v>
      </c>
      <c r="B6" s="33" t="s">
        <v>507</v>
      </c>
      <c r="C6" s="41" t="s">
        <v>508</v>
      </c>
      <c r="D6" s="33" t="s">
        <v>164</v>
      </c>
      <c r="E6" s="33" t="s">
        <v>509</v>
      </c>
      <c r="F6" s="33" t="s">
        <v>510</v>
      </c>
      <c r="G6" s="33" t="s">
        <v>511</v>
      </c>
      <c r="H6" s="33" t="s">
        <v>512</v>
      </c>
      <c r="I6" s="35" t="s">
        <v>136</v>
      </c>
      <c r="J6" s="35" t="s">
        <v>136</v>
      </c>
      <c r="K6" s="35" t="s">
        <v>136</v>
      </c>
      <c r="L6" s="36" t="s">
        <v>137</v>
      </c>
      <c r="M6" s="35" t="s">
        <v>136</v>
      </c>
      <c r="N6" s="36" t="s">
        <v>137</v>
      </c>
      <c r="O6" s="35" t="s">
        <v>136</v>
      </c>
      <c r="P6" s="33" t="s">
        <v>152</v>
      </c>
      <c r="Q6" s="33" t="s">
        <v>139</v>
      </c>
      <c r="R6" s="33" t="s">
        <v>140</v>
      </c>
      <c r="S6" s="33" t="s">
        <v>153</v>
      </c>
      <c r="T6" s="33" t="s">
        <v>142</v>
      </c>
      <c r="U6" s="33" t="s">
        <v>143</v>
      </c>
      <c r="V6" s="37">
        <v>3</v>
      </c>
      <c r="W6" s="37">
        <v>3</v>
      </c>
      <c r="X6" s="37">
        <v>3</v>
      </c>
      <c r="Y6" s="37">
        <v>2</v>
      </c>
      <c r="Z6" s="37">
        <v>3</v>
      </c>
      <c r="AA6" s="37">
        <v>3</v>
      </c>
      <c r="AB6" s="38">
        <f t="shared" si="0"/>
        <v>17</v>
      </c>
      <c r="AC6" s="39" t="s">
        <v>144</v>
      </c>
    </row>
    <row r="7" spans="1:29" ht="67.5" customHeight="1" x14ac:dyDescent="0.2">
      <c r="A7" s="32" t="s">
        <v>513</v>
      </c>
      <c r="B7" s="33" t="s">
        <v>514</v>
      </c>
      <c r="C7" s="41" t="s">
        <v>515</v>
      </c>
      <c r="D7" s="33" t="s">
        <v>516</v>
      </c>
      <c r="E7" s="33" t="s">
        <v>132</v>
      </c>
      <c r="F7" s="33" t="s">
        <v>133</v>
      </c>
      <c r="G7" s="33" t="s">
        <v>517</v>
      </c>
      <c r="H7" s="33" t="s">
        <v>518</v>
      </c>
      <c r="I7" s="36" t="s">
        <v>137</v>
      </c>
      <c r="J7" s="36" t="s">
        <v>137</v>
      </c>
      <c r="K7" s="36" t="s">
        <v>137</v>
      </c>
      <c r="L7" s="36" t="s">
        <v>137</v>
      </c>
      <c r="M7" s="36" t="s">
        <v>137</v>
      </c>
      <c r="N7" s="36" t="s">
        <v>137</v>
      </c>
      <c r="O7" s="35" t="s">
        <v>136</v>
      </c>
      <c r="P7" s="33" t="s">
        <v>152</v>
      </c>
      <c r="Q7" s="33" t="s">
        <v>190</v>
      </c>
      <c r="R7" s="33" t="s">
        <v>140</v>
      </c>
      <c r="S7" s="33" t="s">
        <v>141</v>
      </c>
      <c r="T7" s="33" t="s">
        <v>191</v>
      </c>
      <c r="U7" s="33" t="s">
        <v>168</v>
      </c>
      <c r="V7" s="37">
        <v>3</v>
      </c>
      <c r="W7" s="37">
        <v>2</v>
      </c>
      <c r="X7" s="37">
        <v>3</v>
      </c>
      <c r="Y7" s="37">
        <v>3</v>
      </c>
      <c r="Z7" s="37">
        <v>2</v>
      </c>
      <c r="AA7" s="37">
        <v>2</v>
      </c>
      <c r="AB7" s="38">
        <f t="shared" si="0"/>
        <v>15</v>
      </c>
      <c r="AC7" s="39" t="s">
        <v>144</v>
      </c>
    </row>
    <row r="8" spans="1:29" ht="67.5" customHeight="1" x14ac:dyDescent="0.2">
      <c r="A8" s="32" t="s">
        <v>519</v>
      </c>
      <c r="B8" s="33" t="s">
        <v>520</v>
      </c>
      <c r="C8" s="41" t="s">
        <v>521</v>
      </c>
      <c r="D8" s="33" t="s">
        <v>164</v>
      </c>
      <c r="E8" s="33" t="s">
        <v>187</v>
      </c>
      <c r="F8" s="33" t="s">
        <v>133</v>
      </c>
      <c r="G8" s="33" t="s">
        <v>522</v>
      </c>
      <c r="H8" s="33" t="s">
        <v>523</v>
      </c>
      <c r="I8" s="35" t="s">
        <v>136</v>
      </c>
      <c r="J8" s="35" t="s">
        <v>136</v>
      </c>
      <c r="K8" s="36" t="s">
        <v>137</v>
      </c>
      <c r="L8" s="36" t="s">
        <v>137</v>
      </c>
      <c r="M8" s="35" t="s">
        <v>136</v>
      </c>
      <c r="N8" s="36" t="s">
        <v>137</v>
      </c>
      <c r="O8" s="35" t="s">
        <v>136</v>
      </c>
      <c r="P8" s="33" t="s">
        <v>152</v>
      </c>
      <c r="Q8" s="33" t="s">
        <v>139</v>
      </c>
      <c r="R8" s="33" t="s">
        <v>182</v>
      </c>
      <c r="S8" s="33" t="s">
        <v>153</v>
      </c>
      <c r="T8" s="33" t="s">
        <v>142</v>
      </c>
      <c r="U8" s="33" t="s">
        <v>143</v>
      </c>
      <c r="V8" s="37">
        <v>3</v>
      </c>
      <c r="W8" s="37">
        <v>3</v>
      </c>
      <c r="X8" s="37">
        <v>2</v>
      </c>
      <c r="Y8" s="37">
        <v>2</v>
      </c>
      <c r="Z8" s="37">
        <v>3</v>
      </c>
      <c r="AA8" s="37">
        <v>3</v>
      </c>
      <c r="AB8" s="38">
        <f t="shared" si="0"/>
        <v>16</v>
      </c>
      <c r="AC8" s="39" t="s">
        <v>144</v>
      </c>
    </row>
    <row r="9" spans="1:29" ht="67.5" customHeight="1" x14ac:dyDescent="0.2">
      <c r="A9" s="32" t="s">
        <v>524</v>
      </c>
      <c r="B9" s="33" t="s">
        <v>525</v>
      </c>
      <c r="C9" s="41" t="s">
        <v>526</v>
      </c>
      <c r="D9" s="33" t="s">
        <v>178</v>
      </c>
      <c r="E9" s="33" t="s">
        <v>165</v>
      </c>
      <c r="F9" s="33" t="s">
        <v>133</v>
      </c>
      <c r="G9" s="33" t="s">
        <v>527</v>
      </c>
      <c r="H9" s="33" t="s">
        <v>528</v>
      </c>
      <c r="I9" s="36" t="s">
        <v>137</v>
      </c>
      <c r="J9" s="36" t="s">
        <v>137</v>
      </c>
      <c r="K9" s="36" t="s">
        <v>137</v>
      </c>
      <c r="L9" s="35" t="s">
        <v>136</v>
      </c>
      <c r="M9" s="36" t="s">
        <v>137</v>
      </c>
      <c r="N9" s="36" t="s">
        <v>137</v>
      </c>
      <c r="O9" s="35" t="s">
        <v>136</v>
      </c>
      <c r="P9" s="33" t="s">
        <v>138</v>
      </c>
      <c r="Q9" s="33" t="s">
        <v>190</v>
      </c>
      <c r="R9" s="33" t="s">
        <v>252</v>
      </c>
      <c r="S9" s="33" t="s">
        <v>141</v>
      </c>
      <c r="T9" s="33" t="s">
        <v>191</v>
      </c>
      <c r="U9" s="33" t="s">
        <v>168</v>
      </c>
      <c r="V9" s="37">
        <v>2</v>
      </c>
      <c r="W9" s="37">
        <v>2</v>
      </c>
      <c r="X9" s="37">
        <v>1</v>
      </c>
      <c r="Y9" s="37">
        <v>3</v>
      </c>
      <c r="Z9" s="37">
        <v>2</v>
      </c>
      <c r="AA9" s="37">
        <v>2</v>
      </c>
      <c r="AB9" s="38">
        <f t="shared" si="0"/>
        <v>12</v>
      </c>
      <c r="AC9" s="39" t="s">
        <v>192</v>
      </c>
    </row>
    <row r="10" spans="1:29" ht="67.5" customHeight="1" x14ac:dyDescent="0.2">
      <c r="A10" s="32" t="s">
        <v>529</v>
      </c>
      <c r="B10" s="33" t="s">
        <v>530</v>
      </c>
      <c r="C10" s="41" t="s">
        <v>531</v>
      </c>
      <c r="D10" s="33" t="s">
        <v>164</v>
      </c>
      <c r="E10" s="33" t="s">
        <v>149</v>
      </c>
      <c r="F10" s="33" t="s">
        <v>133</v>
      </c>
      <c r="G10" s="33" t="s">
        <v>532</v>
      </c>
      <c r="H10" s="33" t="s">
        <v>533</v>
      </c>
      <c r="I10" s="35" t="s">
        <v>136</v>
      </c>
      <c r="J10" s="35" t="s">
        <v>136</v>
      </c>
      <c r="K10" s="36" t="s">
        <v>137</v>
      </c>
      <c r="L10" s="35" t="s">
        <v>136</v>
      </c>
      <c r="M10" s="35" t="s">
        <v>136</v>
      </c>
      <c r="N10" s="36" t="s">
        <v>137</v>
      </c>
      <c r="O10" s="35" t="s">
        <v>136</v>
      </c>
      <c r="P10" s="33" t="s">
        <v>152</v>
      </c>
      <c r="Q10" s="33" t="s">
        <v>139</v>
      </c>
      <c r="R10" s="33" t="s">
        <v>140</v>
      </c>
      <c r="S10" s="33" t="s">
        <v>153</v>
      </c>
      <c r="T10" s="33" t="s">
        <v>142</v>
      </c>
      <c r="U10" s="33" t="s">
        <v>143</v>
      </c>
      <c r="V10" s="37">
        <v>3</v>
      </c>
      <c r="W10" s="37">
        <v>3</v>
      </c>
      <c r="X10" s="37">
        <v>3</v>
      </c>
      <c r="Y10" s="37">
        <v>2</v>
      </c>
      <c r="Z10" s="37">
        <v>3</v>
      </c>
      <c r="AA10" s="37">
        <v>3</v>
      </c>
      <c r="AB10" s="38">
        <f t="shared" si="0"/>
        <v>17</v>
      </c>
      <c r="AC10" s="39" t="s">
        <v>144</v>
      </c>
    </row>
  </sheetData>
  <autoFilter ref="A4:AC10" xr:uid="{00000000-0009-0000-0000-000006000000}"/>
  <mergeCells count="6">
    <mergeCell ref="A1:AC1"/>
    <mergeCell ref="A2:AC2"/>
    <mergeCell ref="A3:H3"/>
    <mergeCell ref="I3:O3"/>
    <mergeCell ref="P3:U3"/>
    <mergeCell ref="V3:AC3"/>
  </mergeCells>
  <dataValidations count="7">
    <dataValidation type="list" allowBlank="1" sqref="U5:U10" xr:uid="{00000000-0002-0000-0600-000000000000}">
      <formula1>"High – Global Reach,Medium – National / Regional Reach,Low – Local Reach"</formula1>
      <formula2>0</formula2>
    </dataValidation>
    <dataValidation type="list" allowBlank="1" sqref="T5:T10" xr:uid="{00000000-0002-0000-0600-000001000000}">
      <formula1>"High – Global / Leading Organization,Medium – Established Sector Organization,Low – Emerging / Independent Organizer"</formula1>
      <formula2>0</formula2>
    </dataValidation>
    <dataValidation type="list" allowBlank="1" sqref="S5:S10" xr:uid="{00000000-0002-0000-0600-000002000000}">
      <formula1>"High – Senior Leaders / Decision-Makers,Medium – Field Experts / Professionals,Low – Emerging / General Profiles"</formula1>
      <formula2>0</formula2>
    </dataValidation>
    <dataValidation type="list" allowBlank="1" sqref="R5:R10" xr:uid="{00000000-0002-0000-0600-000003000000}">
      <formula1>"High – Large Event (1,000+ participants),Medium – Mid-size Event (300–1,000 participants),Low – Small Event (&lt;300 participants)"</formula1>
      <formula2>0</formula2>
    </dataValidation>
    <dataValidation type="list" allowBlank="1" sqref="Q5:Q10" xr:uid="{00000000-0002-0000-0600-000004000000}">
      <formula1>"High – International Recognition,Medium – Sector/National Recognition,Low – Emerging/Niche Recognition"</formula1>
      <formula2>0</formula2>
    </dataValidation>
    <dataValidation type="list" allowBlank="1" sqref="P5:P10" xr:uid="{00000000-0002-0000-0600-000005000000}">
      <formula1>"High – Long-established Event (10+ years),Medium – Established Event (3–9 years),Low – New / Emerging Event (&lt;3 years)"</formula1>
      <formula2>0</formula2>
    </dataValidation>
    <dataValidation type="list" allowBlank="1" sqref="I5:O10" xr:uid="{00000000-0002-0000-0600-000006000000}">
      <formula1>"Yes,No"</formula1>
      <formula2>0</formula2>
    </dataValidation>
  </dataValidation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AC16"/>
  <sheetViews>
    <sheetView zoomScale="85" zoomScaleNormal="85" workbookViewId="0">
      <pane xSplit="1" ySplit="4" topLeftCell="B5" activePane="bottomRight" state="frozen"/>
      <selection pane="topRight" activeCell="B1" sqref="B1"/>
      <selection pane="bottomLeft" activeCell="A5" sqref="A5"/>
      <selection pane="bottomRight" activeCell="A5" sqref="A5"/>
    </sheetView>
  </sheetViews>
  <sheetFormatPr baseColWidth="10" defaultColWidth="10.6640625" defaultRowHeight="15" x14ac:dyDescent="0.2"/>
  <cols>
    <col min="1" max="1" width="32" customWidth="1"/>
    <col min="2" max="2" width="46" customWidth="1"/>
    <col min="3" max="3" width="24" customWidth="1"/>
    <col min="4" max="4" width="20" customWidth="1"/>
    <col min="5" max="5" width="12" customWidth="1"/>
    <col min="6" max="6" width="11" customWidth="1"/>
    <col min="7" max="7" width="24" customWidth="1"/>
    <col min="8" max="8" width="32" customWidth="1"/>
    <col min="9" max="15" width="11" customWidth="1"/>
    <col min="16" max="21" width="24" customWidth="1"/>
    <col min="22" max="27" width="8.5" customWidth="1"/>
    <col min="28" max="28" width="9" customWidth="1"/>
    <col min="29" max="29" width="24" customWidth="1"/>
  </cols>
  <sheetData>
    <row r="1" spans="1:29" ht="33.75" customHeight="1" x14ac:dyDescent="0.2">
      <c r="A1" s="13" t="s">
        <v>98</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row>
    <row r="2" spans="1:29" ht="19.5" customHeight="1" x14ac:dyDescent="0.2">
      <c r="A2" s="12" t="s">
        <v>99</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row>
    <row r="3" spans="1:29" ht="19.5" customHeight="1" x14ac:dyDescent="0.2">
      <c r="A3" s="11" t="s">
        <v>100</v>
      </c>
      <c r="B3" s="11"/>
      <c r="C3" s="11"/>
      <c r="D3" s="11"/>
      <c r="E3" s="11"/>
      <c r="F3" s="11"/>
      <c r="G3" s="11"/>
      <c r="H3" s="11"/>
      <c r="I3" s="11" t="s">
        <v>101</v>
      </c>
      <c r="J3" s="11"/>
      <c r="K3" s="11"/>
      <c r="L3" s="11"/>
      <c r="M3" s="11"/>
      <c r="N3" s="11"/>
      <c r="O3" s="11"/>
      <c r="P3" s="10" t="s">
        <v>102</v>
      </c>
      <c r="Q3" s="10"/>
      <c r="R3" s="10"/>
      <c r="S3" s="10"/>
      <c r="T3" s="10"/>
      <c r="U3" s="10"/>
      <c r="V3" s="9" t="s">
        <v>103</v>
      </c>
      <c r="W3" s="9"/>
      <c r="X3" s="9"/>
      <c r="Y3" s="9"/>
      <c r="Z3" s="9"/>
      <c r="AA3" s="9"/>
      <c r="AB3" s="9"/>
      <c r="AC3" s="9"/>
    </row>
    <row r="4" spans="1:29" ht="43.5" customHeight="1" x14ac:dyDescent="0.2">
      <c r="A4" s="28" t="s">
        <v>2</v>
      </c>
      <c r="B4" s="28" t="s">
        <v>4</v>
      </c>
      <c r="C4" s="28" t="s">
        <v>104</v>
      </c>
      <c r="D4" s="28" t="s">
        <v>5</v>
      </c>
      <c r="E4" s="28" t="s">
        <v>105</v>
      </c>
      <c r="F4" s="28" t="s">
        <v>106</v>
      </c>
      <c r="G4" s="28" t="s">
        <v>7</v>
      </c>
      <c r="H4" s="28" t="s">
        <v>9</v>
      </c>
      <c r="I4" s="28" t="s">
        <v>107</v>
      </c>
      <c r="J4" s="28" t="s">
        <v>108</v>
      </c>
      <c r="K4" s="28" t="s">
        <v>109</v>
      </c>
      <c r="L4" s="28" t="s">
        <v>110</v>
      </c>
      <c r="M4" s="28" t="s">
        <v>111</v>
      </c>
      <c r="N4" s="28" t="s">
        <v>112</v>
      </c>
      <c r="O4" s="28" t="s">
        <v>113</v>
      </c>
      <c r="P4" s="29" t="s">
        <v>114</v>
      </c>
      <c r="Q4" s="29" t="s">
        <v>115</v>
      </c>
      <c r="R4" s="29" t="s">
        <v>116</v>
      </c>
      <c r="S4" s="29" t="s">
        <v>117</v>
      </c>
      <c r="T4" s="29" t="s">
        <v>118</v>
      </c>
      <c r="U4" s="29" t="s">
        <v>119</v>
      </c>
      <c r="V4" s="30" t="s">
        <v>120</v>
      </c>
      <c r="W4" s="30" t="s">
        <v>121</v>
      </c>
      <c r="X4" s="30" t="s">
        <v>122</v>
      </c>
      <c r="Y4" s="30" t="s">
        <v>123</v>
      </c>
      <c r="Z4" s="30" t="s">
        <v>124</v>
      </c>
      <c r="AA4" s="30" t="s">
        <v>125</v>
      </c>
      <c r="AB4" s="31" t="s">
        <v>126</v>
      </c>
      <c r="AC4" s="31" t="s">
        <v>127</v>
      </c>
    </row>
    <row r="5" spans="1:29" ht="67.5" customHeight="1" x14ac:dyDescent="0.2">
      <c r="A5" s="32" t="s">
        <v>534</v>
      </c>
      <c r="B5" s="33" t="s">
        <v>535</v>
      </c>
      <c r="C5" s="41" t="s">
        <v>536</v>
      </c>
      <c r="D5" s="33" t="s">
        <v>131</v>
      </c>
      <c r="E5" s="33" t="s">
        <v>233</v>
      </c>
      <c r="F5" s="33" t="s">
        <v>133</v>
      </c>
      <c r="G5" s="33" t="s">
        <v>537</v>
      </c>
      <c r="H5" s="33" t="s">
        <v>538</v>
      </c>
      <c r="I5" s="36" t="s">
        <v>137</v>
      </c>
      <c r="J5" s="36" t="s">
        <v>137</v>
      </c>
      <c r="K5" s="35" t="s">
        <v>136</v>
      </c>
      <c r="L5" s="36" t="s">
        <v>137</v>
      </c>
      <c r="M5" s="36" t="s">
        <v>137</v>
      </c>
      <c r="N5" s="36" t="s">
        <v>137</v>
      </c>
      <c r="O5" s="35" t="s">
        <v>136</v>
      </c>
      <c r="P5" s="33" t="s">
        <v>152</v>
      </c>
      <c r="Q5" s="33" t="s">
        <v>139</v>
      </c>
      <c r="R5" s="33" t="s">
        <v>140</v>
      </c>
      <c r="S5" s="33" t="s">
        <v>141</v>
      </c>
      <c r="T5" s="33" t="s">
        <v>142</v>
      </c>
      <c r="U5" s="33" t="s">
        <v>143</v>
      </c>
      <c r="V5" s="37">
        <v>3</v>
      </c>
      <c r="W5" s="37">
        <v>3</v>
      </c>
      <c r="X5" s="37">
        <v>3</v>
      </c>
      <c r="Y5" s="37">
        <v>3</v>
      </c>
      <c r="Z5" s="37">
        <v>3</v>
      </c>
      <c r="AA5" s="37">
        <v>3</v>
      </c>
      <c r="AB5" s="38">
        <f t="shared" ref="AB5:AB16" si="0">SUM(V5:AA5)</f>
        <v>18</v>
      </c>
      <c r="AC5" s="39" t="s">
        <v>144</v>
      </c>
    </row>
    <row r="6" spans="1:29" ht="67.5" customHeight="1" x14ac:dyDescent="0.2">
      <c r="A6" s="32" t="s">
        <v>539</v>
      </c>
      <c r="B6" s="33" t="s">
        <v>540</v>
      </c>
      <c r="C6" s="41" t="s">
        <v>541</v>
      </c>
      <c r="D6" s="33" t="s">
        <v>164</v>
      </c>
      <c r="E6" s="33" t="s">
        <v>240</v>
      </c>
      <c r="F6" s="33" t="s">
        <v>133</v>
      </c>
      <c r="G6" s="33" t="s">
        <v>542</v>
      </c>
      <c r="H6" s="33" t="s">
        <v>543</v>
      </c>
      <c r="I6" s="36" t="s">
        <v>137</v>
      </c>
      <c r="J6" s="36" t="s">
        <v>137</v>
      </c>
      <c r="K6" s="35" t="s">
        <v>136</v>
      </c>
      <c r="L6" s="35" t="s">
        <v>136</v>
      </c>
      <c r="M6" s="36" t="s">
        <v>137</v>
      </c>
      <c r="N6" s="36" t="s">
        <v>137</v>
      </c>
      <c r="O6" s="36" t="s">
        <v>137</v>
      </c>
      <c r="P6" s="33" t="s">
        <v>152</v>
      </c>
      <c r="Q6" s="33" t="s">
        <v>139</v>
      </c>
      <c r="R6" s="33" t="s">
        <v>140</v>
      </c>
      <c r="S6" s="33" t="s">
        <v>141</v>
      </c>
      <c r="T6" s="33" t="s">
        <v>142</v>
      </c>
      <c r="U6" s="33" t="s">
        <v>143</v>
      </c>
      <c r="V6" s="37">
        <v>3</v>
      </c>
      <c r="W6" s="37">
        <v>3</v>
      </c>
      <c r="X6" s="37">
        <v>3</v>
      </c>
      <c r="Y6" s="37">
        <v>3</v>
      </c>
      <c r="Z6" s="37">
        <v>3</v>
      </c>
      <c r="AA6" s="37">
        <v>3</v>
      </c>
      <c r="AB6" s="38">
        <f t="shared" si="0"/>
        <v>18</v>
      </c>
      <c r="AC6" s="39" t="s">
        <v>144</v>
      </c>
    </row>
    <row r="7" spans="1:29" ht="67.5" customHeight="1" x14ac:dyDescent="0.2">
      <c r="A7" s="32" t="s">
        <v>544</v>
      </c>
      <c r="B7" s="33" t="s">
        <v>545</v>
      </c>
      <c r="C7" s="41" t="s">
        <v>546</v>
      </c>
      <c r="D7" s="33" t="s">
        <v>228</v>
      </c>
      <c r="E7" s="33" t="s">
        <v>149</v>
      </c>
      <c r="F7" s="33" t="s">
        <v>133</v>
      </c>
      <c r="G7" s="33" t="s">
        <v>547</v>
      </c>
      <c r="H7" s="33" t="s">
        <v>548</v>
      </c>
      <c r="I7" s="36" t="s">
        <v>137</v>
      </c>
      <c r="J7" s="36" t="s">
        <v>137</v>
      </c>
      <c r="K7" s="35" t="s">
        <v>136</v>
      </c>
      <c r="L7" s="35" t="s">
        <v>136</v>
      </c>
      <c r="M7" s="36" t="s">
        <v>137</v>
      </c>
      <c r="N7" s="36" t="s">
        <v>137</v>
      </c>
      <c r="O7" s="36" t="s">
        <v>137</v>
      </c>
      <c r="P7" s="33" t="s">
        <v>138</v>
      </c>
      <c r="Q7" s="33" t="s">
        <v>139</v>
      </c>
      <c r="R7" s="33" t="s">
        <v>140</v>
      </c>
      <c r="S7" s="33" t="s">
        <v>141</v>
      </c>
      <c r="T7" s="33" t="s">
        <v>142</v>
      </c>
      <c r="U7" s="33" t="s">
        <v>143</v>
      </c>
      <c r="V7" s="37">
        <v>2</v>
      </c>
      <c r="W7" s="37">
        <v>3</v>
      </c>
      <c r="X7" s="37">
        <v>3</v>
      </c>
      <c r="Y7" s="37">
        <v>3</v>
      </c>
      <c r="Z7" s="37">
        <v>3</v>
      </c>
      <c r="AA7" s="37">
        <v>3</v>
      </c>
      <c r="AB7" s="38">
        <f t="shared" si="0"/>
        <v>17</v>
      </c>
      <c r="AC7" s="39" t="s">
        <v>144</v>
      </c>
    </row>
    <row r="8" spans="1:29" ht="67.5" customHeight="1" x14ac:dyDescent="0.2">
      <c r="A8" s="32" t="s">
        <v>549</v>
      </c>
      <c r="B8" s="33" t="s">
        <v>550</v>
      </c>
      <c r="C8" s="41" t="s">
        <v>551</v>
      </c>
      <c r="D8" s="33" t="s">
        <v>516</v>
      </c>
      <c r="E8" s="33" t="s">
        <v>132</v>
      </c>
      <c r="F8" s="33" t="s">
        <v>133</v>
      </c>
      <c r="G8" s="33" t="s">
        <v>552</v>
      </c>
      <c r="H8" s="33" t="s">
        <v>553</v>
      </c>
      <c r="I8" s="36" t="s">
        <v>137</v>
      </c>
      <c r="J8" s="36" t="s">
        <v>137</v>
      </c>
      <c r="K8" s="35" t="s">
        <v>136</v>
      </c>
      <c r="L8" s="35" t="s">
        <v>136</v>
      </c>
      <c r="M8" s="36" t="s">
        <v>137</v>
      </c>
      <c r="N8" s="36" t="s">
        <v>137</v>
      </c>
      <c r="O8" s="36" t="s">
        <v>137</v>
      </c>
      <c r="P8" s="33" t="s">
        <v>138</v>
      </c>
      <c r="Q8" s="33" t="s">
        <v>139</v>
      </c>
      <c r="R8" s="33" t="s">
        <v>140</v>
      </c>
      <c r="S8" s="33" t="s">
        <v>141</v>
      </c>
      <c r="T8" s="33" t="s">
        <v>142</v>
      </c>
      <c r="U8" s="33" t="s">
        <v>143</v>
      </c>
      <c r="V8" s="37">
        <v>2</v>
      </c>
      <c r="W8" s="37">
        <v>3</v>
      </c>
      <c r="X8" s="37">
        <v>3</v>
      </c>
      <c r="Y8" s="37">
        <v>3</v>
      </c>
      <c r="Z8" s="37">
        <v>3</v>
      </c>
      <c r="AA8" s="37">
        <v>3</v>
      </c>
      <c r="AB8" s="38">
        <f t="shared" si="0"/>
        <v>17</v>
      </c>
      <c r="AC8" s="39" t="s">
        <v>144</v>
      </c>
    </row>
    <row r="9" spans="1:29" ht="67.5" customHeight="1" x14ac:dyDescent="0.2">
      <c r="A9" s="32" t="s">
        <v>554</v>
      </c>
      <c r="B9" s="33" t="s">
        <v>555</v>
      </c>
      <c r="C9" s="41" t="s">
        <v>556</v>
      </c>
      <c r="D9" s="33" t="s">
        <v>447</v>
      </c>
      <c r="E9" s="33" t="s">
        <v>282</v>
      </c>
      <c r="F9" s="33" t="s">
        <v>133</v>
      </c>
      <c r="G9" s="33" t="s">
        <v>557</v>
      </c>
      <c r="H9" s="33" t="s">
        <v>558</v>
      </c>
      <c r="I9" s="36" t="s">
        <v>137</v>
      </c>
      <c r="J9" s="36" t="s">
        <v>137</v>
      </c>
      <c r="K9" s="35" t="s">
        <v>136</v>
      </c>
      <c r="L9" s="35" t="s">
        <v>136</v>
      </c>
      <c r="M9" s="36" t="s">
        <v>137</v>
      </c>
      <c r="N9" s="36" t="s">
        <v>137</v>
      </c>
      <c r="O9" s="36" t="s">
        <v>137</v>
      </c>
      <c r="P9" s="33" t="s">
        <v>152</v>
      </c>
      <c r="Q9" s="33" t="s">
        <v>190</v>
      </c>
      <c r="R9" s="33" t="s">
        <v>182</v>
      </c>
      <c r="S9" s="33" t="s">
        <v>141</v>
      </c>
      <c r="T9" s="33" t="s">
        <v>191</v>
      </c>
      <c r="U9" s="33" t="s">
        <v>143</v>
      </c>
      <c r="V9" s="37">
        <v>3</v>
      </c>
      <c r="W9" s="37">
        <v>2</v>
      </c>
      <c r="X9" s="37">
        <v>2</v>
      </c>
      <c r="Y9" s="37">
        <v>3</v>
      </c>
      <c r="Z9" s="37">
        <v>2</v>
      </c>
      <c r="AA9" s="37">
        <v>3</v>
      </c>
      <c r="AB9" s="38">
        <f t="shared" si="0"/>
        <v>15</v>
      </c>
      <c r="AC9" s="39" t="s">
        <v>144</v>
      </c>
    </row>
    <row r="10" spans="1:29" ht="67.5" customHeight="1" x14ac:dyDescent="0.2">
      <c r="A10" s="32" t="s">
        <v>559</v>
      </c>
      <c r="B10" s="33" t="s">
        <v>560</v>
      </c>
      <c r="C10" s="41" t="s">
        <v>561</v>
      </c>
      <c r="D10" s="33" t="s">
        <v>164</v>
      </c>
      <c r="E10" s="33" t="s">
        <v>179</v>
      </c>
      <c r="F10" s="33" t="s">
        <v>133</v>
      </c>
      <c r="G10" s="33" t="s">
        <v>562</v>
      </c>
      <c r="H10" s="33" t="s">
        <v>563</v>
      </c>
      <c r="I10" s="36" t="s">
        <v>137</v>
      </c>
      <c r="J10" s="36" t="s">
        <v>137</v>
      </c>
      <c r="K10" s="35" t="s">
        <v>136</v>
      </c>
      <c r="L10" s="36" t="s">
        <v>137</v>
      </c>
      <c r="M10" s="36" t="s">
        <v>137</v>
      </c>
      <c r="N10" s="36" t="s">
        <v>137</v>
      </c>
      <c r="O10" s="35" t="s">
        <v>136</v>
      </c>
      <c r="P10" s="33" t="s">
        <v>152</v>
      </c>
      <c r="Q10" s="33" t="s">
        <v>139</v>
      </c>
      <c r="R10" s="33" t="s">
        <v>140</v>
      </c>
      <c r="S10" s="33" t="s">
        <v>153</v>
      </c>
      <c r="T10" s="33" t="s">
        <v>142</v>
      </c>
      <c r="U10" s="33" t="s">
        <v>143</v>
      </c>
      <c r="V10" s="37">
        <v>3</v>
      </c>
      <c r="W10" s="37">
        <v>3</v>
      </c>
      <c r="X10" s="37">
        <v>3</v>
      </c>
      <c r="Y10" s="37">
        <v>2</v>
      </c>
      <c r="Z10" s="37">
        <v>3</v>
      </c>
      <c r="AA10" s="37">
        <v>3</v>
      </c>
      <c r="AB10" s="38">
        <f t="shared" si="0"/>
        <v>17</v>
      </c>
      <c r="AC10" s="39" t="s">
        <v>144</v>
      </c>
    </row>
    <row r="11" spans="1:29" ht="67.5" customHeight="1" x14ac:dyDescent="0.2">
      <c r="A11" s="32" t="s">
        <v>564</v>
      </c>
      <c r="B11" s="33" t="s">
        <v>565</v>
      </c>
      <c r="C11" s="41" t="s">
        <v>566</v>
      </c>
      <c r="D11" s="33" t="s">
        <v>164</v>
      </c>
      <c r="E11" s="33" t="s">
        <v>187</v>
      </c>
      <c r="F11" s="33" t="s">
        <v>133</v>
      </c>
      <c r="G11" s="33" t="s">
        <v>567</v>
      </c>
      <c r="H11" s="33" t="s">
        <v>568</v>
      </c>
      <c r="I11" s="35" t="s">
        <v>136</v>
      </c>
      <c r="J11" s="36" t="s">
        <v>137</v>
      </c>
      <c r="K11" s="35" t="s">
        <v>136</v>
      </c>
      <c r="L11" s="36" t="s">
        <v>137</v>
      </c>
      <c r="M11" s="36" t="s">
        <v>137</v>
      </c>
      <c r="N11" s="36" t="s">
        <v>137</v>
      </c>
      <c r="O11" s="35" t="s">
        <v>136</v>
      </c>
      <c r="P11" s="33" t="s">
        <v>152</v>
      </c>
      <c r="Q11" s="33" t="s">
        <v>139</v>
      </c>
      <c r="R11" s="33" t="s">
        <v>140</v>
      </c>
      <c r="S11" s="33" t="s">
        <v>141</v>
      </c>
      <c r="T11" s="33" t="s">
        <v>142</v>
      </c>
      <c r="U11" s="33" t="s">
        <v>143</v>
      </c>
      <c r="V11" s="37">
        <v>3</v>
      </c>
      <c r="W11" s="37">
        <v>3</v>
      </c>
      <c r="X11" s="37">
        <v>3</v>
      </c>
      <c r="Y11" s="37">
        <v>3</v>
      </c>
      <c r="Z11" s="37">
        <v>3</v>
      </c>
      <c r="AA11" s="37">
        <v>3</v>
      </c>
      <c r="AB11" s="38">
        <f t="shared" si="0"/>
        <v>18</v>
      </c>
      <c r="AC11" s="39" t="s">
        <v>144</v>
      </c>
    </row>
    <row r="12" spans="1:29" ht="67.5" customHeight="1" x14ac:dyDescent="0.2">
      <c r="A12" s="32" t="s">
        <v>569</v>
      </c>
      <c r="B12" s="33" t="s">
        <v>570</v>
      </c>
      <c r="C12" s="41" t="s">
        <v>571</v>
      </c>
      <c r="D12" s="33" t="s">
        <v>572</v>
      </c>
      <c r="E12" s="33" t="s">
        <v>208</v>
      </c>
      <c r="F12" s="33" t="s">
        <v>133</v>
      </c>
      <c r="G12" s="33" t="s">
        <v>464</v>
      </c>
      <c r="H12" s="33" t="s">
        <v>573</v>
      </c>
      <c r="I12" s="36" t="s">
        <v>137</v>
      </c>
      <c r="J12" s="36" t="s">
        <v>137</v>
      </c>
      <c r="K12" s="35" t="s">
        <v>136</v>
      </c>
      <c r="L12" s="36" t="s">
        <v>137</v>
      </c>
      <c r="M12" s="36" t="s">
        <v>137</v>
      </c>
      <c r="N12" s="36" t="s">
        <v>137</v>
      </c>
      <c r="O12" s="35" t="s">
        <v>136</v>
      </c>
      <c r="P12" s="33" t="s">
        <v>152</v>
      </c>
      <c r="Q12" s="33" t="s">
        <v>190</v>
      </c>
      <c r="R12" s="33" t="s">
        <v>182</v>
      </c>
      <c r="S12" s="33" t="s">
        <v>153</v>
      </c>
      <c r="T12" s="33" t="s">
        <v>191</v>
      </c>
      <c r="U12" s="33" t="s">
        <v>168</v>
      </c>
      <c r="V12" s="37">
        <v>3</v>
      </c>
      <c r="W12" s="37">
        <v>2</v>
      </c>
      <c r="X12" s="37">
        <v>2</v>
      </c>
      <c r="Y12" s="37">
        <v>2</v>
      </c>
      <c r="Z12" s="37">
        <v>2</v>
      </c>
      <c r="AA12" s="37">
        <v>2</v>
      </c>
      <c r="AB12" s="38">
        <f t="shared" si="0"/>
        <v>13</v>
      </c>
      <c r="AC12" s="39" t="s">
        <v>192</v>
      </c>
    </row>
    <row r="13" spans="1:29" ht="67.5" customHeight="1" x14ac:dyDescent="0.2">
      <c r="A13" s="32" t="s">
        <v>574</v>
      </c>
      <c r="B13" s="33" t="s">
        <v>575</v>
      </c>
      <c r="C13" s="41" t="s">
        <v>576</v>
      </c>
      <c r="D13" s="33" t="s">
        <v>239</v>
      </c>
      <c r="E13" s="33" t="s">
        <v>215</v>
      </c>
      <c r="F13" s="33" t="s">
        <v>133</v>
      </c>
      <c r="G13" s="33" t="s">
        <v>577</v>
      </c>
      <c r="H13" s="33" t="s">
        <v>578</v>
      </c>
      <c r="I13" s="36" t="s">
        <v>137</v>
      </c>
      <c r="J13" s="36" t="s">
        <v>137</v>
      </c>
      <c r="K13" s="35" t="s">
        <v>136</v>
      </c>
      <c r="L13" s="36" t="s">
        <v>137</v>
      </c>
      <c r="M13" s="36" t="s">
        <v>137</v>
      </c>
      <c r="N13" s="36" t="s">
        <v>137</v>
      </c>
      <c r="O13" s="36" t="s">
        <v>137</v>
      </c>
      <c r="P13" s="33" t="s">
        <v>152</v>
      </c>
      <c r="Q13" s="33" t="s">
        <v>190</v>
      </c>
      <c r="R13" s="33" t="s">
        <v>252</v>
      </c>
      <c r="S13" s="33" t="s">
        <v>141</v>
      </c>
      <c r="T13" s="33" t="s">
        <v>142</v>
      </c>
      <c r="U13" s="33" t="s">
        <v>168</v>
      </c>
      <c r="V13" s="37">
        <v>3</v>
      </c>
      <c r="W13" s="37">
        <v>2</v>
      </c>
      <c r="X13" s="37">
        <v>1</v>
      </c>
      <c r="Y13" s="37">
        <v>3</v>
      </c>
      <c r="Z13" s="37">
        <v>3</v>
      </c>
      <c r="AA13" s="37">
        <v>2</v>
      </c>
      <c r="AB13" s="38">
        <f t="shared" si="0"/>
        <v>14</v>
      </c>
      <c r="AC13" s="39" t="s">
        <v>192</v>
      </c>
    </row>
    <row r="14" spans="1:29" ht="67.5" customHeight="1" x14ac:dyDescent="0.2">
      <c r="A14" s="32" t="s">
        <v>579</v>
      </c>
      <c r="B14" s="33" t="s">
        <v>580</v>
      </c>
      <c r="C14" s="41" t="s">
        <v>581</v>
      </c>
      <c r="D14" s="33" t="s">
        <v>239</v>
      </c>
      <c r="E14" s="33" t="s">
        <v>282</v>
      </c>
      <c r="F14" s="33" t="s">
        <v>133</v>
      </c>
      <c r="G14" s="33" t="s">
        <v>582</v>
      </c>
      <c r="H14" s="33" t="s">
        <v>583</v>
      </c>
      <c r="I14" s="36" t="s">
        <v>137</v>
      </c>
      <c r="J14" s="36" t="s">
        <v>137</v>
      </c>
      <c r="K14" s="35" t="s">
        <v>136</v>
      </c>
      <c r="L14" s="35" t="s">
        <v>136</v>
      </c>
      <c r="M14" s="36" t="s">
        <v>137</v>
      </c>
      <c r="N14" s="36" t="s">
        <v>137</v>
      </c>
      <c r="O14" s="36" t="s">
        <v>137</v>
      </c>
      <c r="P14" s="33" t="s">
        <v>250</v>
      </c>
      <c r="Q14" s="33" t="s">
        <v>251</v>
      </c>
      <c r="R14" s="33" t="s">
        <v>182</v>
      </c>
      <c r="S14" s="33" t="s">
        <v>153</v>
      </c>
      <c r="T14" s="33" t="s">
        <v>191</v>
      </c>
      <c r="U14" s="33" t="s">
        <v>168</v>
      </c>
      <c r="V14" s="37">
        <v>1</v>
      </c>
      <c r="W14" s="37">
        <v>1</v>
      </c>
      <c r="X14" s="37">
        <v>2</v>
      </c>
      <c r="Y14" s="37">
        <v>2</v>
      </c>
      <c r="Z14" s="37">
        <v>2</v>
      </c>
      <c r="AA14" s="37">
        <v>2</v>
      </c>
      <c r="AB14" s="38">
        <f t="shared" si="0"/>
        <v>10</v>
      </c>
      <c r="AC14" s="39" t="s">
        <v>192</v>
      </c>
    </row>
    <row r="15" spans="1:29" ht="67.5" customHeight="1" x14ac:dyDescent="0.2">
      <c r="A15" s="32" t="s">
        <v>584</v>
      </c>
      <c r="B15" s="33" t="s">
        <v>585</v>
      </c>
      <c r="C15" s="41" t="s">
        <v>586</v>
      </c>
      <c r="D15" s="33" t="s">
        <v>164</v>
      </c>
      <c r="E15" s="33" t="s">
        <v>208</v>
      </c>
      <c r="F15" s="33" t="s">
        <v>133</v>
      </c>
      <c r="G15" s="33" t="s">
        <v>587</v>
      </c>
      <c r="H15" s="33" t="s">
        <v>588</v>
      </c>
      <c r="I15" s="36" t="s">
        <v>137</v>
      </c>
      <c r="J15" s="36" t="s">
        <v>137</v>
      </c>
      <c r="K15" s="35" t="s">
        <v>136</v>
      </c>
      <c r="L15" s="36" t="s">
        <v>137</v>
      </c>
      <c r="M15" s="36" t="s">
        <v>137</v>
      </c>
      <c r="N15" s="36" t="s">
        <v>137</v>
      </c>
      <c r="O15" s="36" t="s">
        <v>137</v>
      </c>
      <c r="P15" s="33" t="s">
        <v>152</v>
      </c>
      <c r="Q15" s="33" t="s">
        <v>190</v>
      </c>
      <c r="R15" s="33" t="s">
        <v>140</v>
      </c>
      <c r="S15" s="33" t="s">
        <v>153</v>
      </c>
      <c r="T15" s="33" t="s">
        <v>191</v>
      </c>
      <c r="U15" s="33" t="s">
        <v>168</v>
      </c>
      <c r="V15" s="37">
        <v>3</v>
      </c>
      <c r="W15" s="37">
        <v>2</v>
      </c>
      <c r="X15" s="37">
        <v>3</v>
      </c>
      <c r="Y15" s="37">
        <v>2</v>
      </c>
      <c r="Z15" s="37">
        <v>2</v>
      </c>
      <c r="AA15" s="37">
        <v>2</v>
      </c>
      <c r="AB15" s="38">
        <f t="shared" si="0"/>
        <v>14</v>
      </c>
      <c r="AC15" s="39" t="s">
        <v>192</v>
      </c>
    </row>
    <row r="16" spans="1:29" ht="67.5" customHeight="1" x14ac:dyDescent="0.2">
      <c r="A16" s="32" t="s">
        <v>589</v>
      </c>
      <c r="B16" s="33" t="s">
        <v>590</v>
      </c>
      <c r="C16" s="41" t="s">
        <v>591</v>
      </c>
      <c r="D16" s="33" t="s">
        <v>572</v>
      </c>
      <c r="E16" s="33" t="s">
        <v>282</v>
      </c>
      <c r="F16" s="33" t="s">
        <v>133</v>
      </c>
      <c r="G16" s="33" t="s">
        <v>592</v>
      </c>
      <c r="H16" s="33" t="s">
        <v>593</v>
      </c>
      <c r="I16" s="36" t="s">
        <v>137</v>
      </c>
      <c r="J16" s="36" t="s">
        <v>137</v>
      </c>
      <c r="K16" s="35" t="s">
        <v>136</v>
      </c>
      <c r="L16" s="35" t="s">
        <v>136</v>
      </c>
      <c r="M16" s="36" t="s">
        <v>137</v>
      </c>
      <c r="N16" s="36" t="s">
        <v>137</v>
      </c>
      <c r="O16" s="35" t="s">
        <v>136</v>
      </c>
      <c r="P16" s="33" t="s">
        <v>152</v>
      </c>
      <c r="Q16" s="33" t="s">
        <v>190</v>
      </c>
      <c r="R16" s="33" t="s">
        <v>182</v>
      </c>
      <c r="S16" s="33" t="s">
        <v>153</v>
      </c>
      <c r="T16" s="33" t="s">
        <v>142</v>
      </c>
      <c r="U16" s="33" t="s">
        <v>143</v>
      </c>
      <c r="V16" s="37">
        <v>3</v>
      </c>
      <c r="W16" s="37">
        <v>2</v>
      </c>
      <c r="X16" s="37">
        <v>2</v>
      </c>
      <c r="Y16" s="37">
        <v>2</v>
      </c>
      <c r="Z16" s="37">
        <v>3</v>
      </c>
      <c r="AA16" s="37">
        <v>3</v>
      </c>
      <c r="AB16" s="38">
        <f t="shared" si="0"/>
        <v>15</v>
      </c>
      <c r="AC16" s="39" t="s">
        <v>144</v>
      </c>
    </row>
  </sheetData>
  <autoFilter ref="A4:AC16" xr:uid="{00000000-0009-0000-0000-000007000000}"/>
  <mergeCells count="6">
    <mergeCell ref="A1:AC1"/>
    <mergeCell ref="A2:AC2"/>
    <mergeCell ref="A3:H3"/>
    <mergeCell ref="I3:O3"/>
    <mergeCell ref="P3:U3"/>
    <mergeCell ref="V3:AC3"/>
  </mergeCells>
  <dataValidations count="7">
    <dataValidation type="list" allowBlank="1" sqref="U5:U16" xr:uid="{00000000-0002-0000-0700-000000000000}">
      <formula1>"High – Global Reach,Medium – National / Regional Reach,Low – Local Reach"</formula1>
      <formula2>0</formula2>
    </dataValidation>
    <dataValidation type="list" allowBlank="1" sqref="T5:T16" xr:uid="{00000000-0002-0000-0700-000001000000}">
      <formula1>"High – Global / Leading Organization,Medium – Established Sector Organization,Low – Emerging / Independent Organizer"</formula1>
      <formula2>0</formula2>
    </dataValidation>
    <dataValidation type="list" allowBlank="1" sqref="S5:S16" xr:uid="{00000000-0002-0000-0700-000002000000}">
      <formula1>"High – Senior Leaders / Decision-Makers,Medium – Field Experts / Professionals,Low – Emerging / General Profiles"</formula1>
      <formula2>0</formula2>
    </dataValidation>
    <dataValidation type="list" allowBlank="1" sqref="R5:R16" xr:uid="{00000000-0002-0000-0700-000003000000}">
      <formula1>"High – Large Event (1,000+ participants),Medium – Mid-size Event (300–1,000 participants),Low – Small Event (&lt;300 participants)"</formula1>
      <formula2>0</formula2>
    </dataValidation>
    <dataValidation type="list" allowBlank="1" sqref="Q5:Q16" xr:uid="{00000000-0002-0000-0700-000004000000}">
      <formula1>"High – International Recognition,Medium – Sector/National Recognition,Low – Emerging/Niche Recognition"</formula1>
      <formula2>0</formula2>
    </dataValidation>
    <dataValidation type="list" allowBlank="1" sqref="P5:P16" xr:uid="{00000000-0002-0000-0700-000005000000}">
      <formula1>"High – Long-established Event (10+ years),Medium – Established Event (3–9 years),Low – New / Emerging Event (&lt;3 years)"</formula1>
      <formula2>0</formula2>
    </dataValidation>
    <dataValidation type="list" allowBlank="1" sqref="I5:O16" xr:uid="{00000000-0002-0000-0700-000006000000}">
      <formula1>"Yes,No"</formula1>
      <formula2>0</formula2>
    </dataValidation>
  </dataValidation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sheetPr>
  <dimension ref="A1:AC11"/>
  <sheetViews>
    <sheetView tabSelected="1" zoomScale="85" zoomScaleNormal="85" workbookViewId="0">
      <pane xSplit="1" ySplit="4" topLeftCell="B5" activePane="bottomRight" state="frozen"/>
      <selection pane="topRight" activeCell="B1" sqref="B1"/>
      <selection pane="bottomLeft" activeCell="A5" sqref="A5"/>
      <selection pane="bottomRight" activeCell="W26" sqref="W26"/>
    </sheetView>
  </sheetViews>
  <sheetFormatPr baseColWidth="10" defaultColWidth="10.6640625" defaultRowHeight="15" x14ac:dyDescent="0.2"/>
  <cols>
    <col min="1" max="1" width="32" customWidth="1"/>
    <col min="2" max="2" width="46" customWidth="1"/>
    <col min="3" max="3" width="24" customWidth="1"/>
    <col min="4" max="4" width="20" customWidth="1"/>
    <col min="5" max="5" width="12" customWidth="1"/>
    <col min="6" max="6" width="11" customWidth="1"/>
    <col min="7" max="7" width="24" customWidth="1"/>
    <col min="8" max="8" width="32" customWidth="1"/>
    <col min="9" max="15" width="11" customWidth="1"/>
    <col min="16" max="21" width="24" customWidth="1"/>
    <col min="22" max="27" width="8.5" customWidth="1"/>
    <col min="28" max="28" width="9" customWidth="1"/>
    <col min="29" max="29" width="24" customWidth="1"/>
  </cols>
  <sheetData>
    <row r="1" spans="1:29" ht="33.75" customHeight="1" x14ac:dyDescent="0.2">
      <c r="A1" s="13" t="s">
        <v>98</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row>
    <row r="2" spans="1:29" ht="19.5" customHeight="1" x14ac:dyDescent="0.2">
      <c r="A2" s="12" t="s">
        <v>99</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row>
    <row r="3" spans="1:29" ht="19.5" customHeight="1" x14ac:dyDescent="0.2">
      <c r="A3" s="11" t="s">
        <v>100</v>
      </c>
      <c r="B3" s="11"/>
      <c r="C3" s="11"/>
      <c r="D3" s="11"/>
      <c r="E3" s="11"/>
      <c r="F3" s="11"/>
      <c r="G3" s="11"/>
      <c r="H3" s="11"/>
      <c r="I3" s="11" t="s">
        <v>101</v>
      </c>
      <c r="J3" s="11"/>
      <c r="K3" s="11"/>
      <c r="L3" s="11"/>
      <c r="M3" s="11"/>
      <c r="N3" s="11"/>
      <c r="O3" s="11"/>
      <c r="P3" s="10" t="s">
        <v>102</v>
      </c>
      <c r="Q3" s="10"/>
      <c r="R3" s="10"/>
      <c r="S3" s="10"/>
      <c r="T3" s="10"/>
      <c r="U3" s="10"/>
      <c r="V3" s="9" t="s">
        <v>103</v>
      </c>
      <c r="W3" s="9"/>
      <c r="X3" s="9"/>
      <c r="Y3" s="9"/>
      <c r="Z3" s="9"/>
      <c r="AA3" s="9"/>
      <c r="AB3" s="9"/>
      <c r="AC3" s="9"/>
    </row>
    <row r="4" spans="1:29" ht="43.5" customHeight="1" x14ac:dyDescent="0.2">
      <c r="A4" s="28" t="s">
        <v>2</v>
      </c>
      <c r="B4" s="28" t="s">
        <v>4</v>
      </c>
      <c r="C4" s="28" t="s">
        <v>104</v>
      </c>
      <c r="D4" s="28" t="s">
        <v>5</v>
      </c>
      <c r="E4" s="28" t="s">
        <v>105</v>
      </c>
      <c r="F4" s="28" t="s">
        <v>106</v>
      </c>
      <c r="G4" s="28" t="s">
        <v>7</v>
      </c>
      <c r="H4" s="28" t="s">
        <v>9</v>
      </c>
      <c r="I4" s="28" t="s">
        <v>107</v>
      </c>
      <c r="J4" s="28" t="s">
        <v>108</v>
      </c>
      <c r="K4" s="28" t="s">
        <v>109</v>
      </c>
      <c r="L4" s="28" t="s">
        <v>110</v>
      </c>
      <c r="M4" s="28" t="s">
        <v>111</v>
      </c>
      <c r="N4" s="28" t="s">
        <v>112</v>
      </c>
      <c r="O4" s="28" t="s">
        <v>113</v>
      </c>
      <c r="P4" s="29" t="s">
        <v>114</v>
      </c>
      <c r="Q4" s="29" t="s">
        <v>115</v>
      </c>
      <c r="R4" s="29" t="s">
        <v>116</v>
      </c>
      <c r="S4" s="29" t="s">
        <v>117</v>
      </c>
      <c r="T4" s="29" t="s">
        <v>118</v>
      </c>
      <c r="U4" s="29" t="s">
        <v>119</v>
      </c>
      <c r="V4" s="30" t="s">
        <v>120</v>
      </c>
      <c r="W4" s="30" t="s">
        <v>121</v>
      </c>
      <c r="X4" s="30" t="s">
        <v>122</v>
      </c>
      <c r="Y4" s="30" t="s">
        <v>123</v>
      </c>
      <c r="Z4" s="30" t="s">
        <v>124</v>
      </c>
      <c r="AA4" s="30" t="s">
        <v>125</v>
      </c>
      <c r="AB4" s="31" t="s">
        <v>126</v>
      </c>
      <c r="AC4" s="31" t="s">
        <v>127</v>
      </c>
    </row>
    <row r="5" spans="1:29" s="40" customFormat="1" ht="19.5" customHeight="1" x14ac:dyDescent="0.2">
      <c r="A5" s="3" t="s">
        <v>594</v>
      </c>
      <c r="B5" s="3"/>
      <c r="C5" s="3"/>
      <c r="D5" s="3"/>
      <c r="E5" s="3"/>
      <c r="F5" s="3"/>
      <c r="G5" s="3"/>
      <c r="H5" s="3"/>
      <c r="I5" s="3"/>
      <c r="J5" s="3"/>
      <c r="K5" s="3"/>
      <c r="L5" s="3"/>
      <c r="M5" s="3"/>
      <c r="N5" s="3"/>
      <c r="O5" s="3"/>
      <c r="P5" s="3"/>
      <c r="Q5" s="3"/>
      <c r="R5" s="3"/>
      <c r="S5" s="3"/>
      <c r="T5" s="3"/>
      <c r="U5" s="3"/>
      <c r="V5" s="3"/>
      <c r="W5" s="3"/>
      <c r="X5" s="3"/>
      <c r="Y5" s="3"/>
      <c r="Z5" s="3"/>
      <c r="AA5" s="3"/>
      <c r="AB5" s="3"/>
      <c r="AC5" s="3"/>
    </row>
    <row r="6" spans="1:29" ht="67.5" customHeight="1" x14ac:dyDescent="0.2">
      <c r="A6" s="32" t="s">
        <v>595</v>
      </c>
      <c r="B6" s="33" t="s">
        <v>596</v>
      </c>
      <c r="C6" s="41" t="s">
        <v>597</v>
      </c>
      <c r="D6" s="33" t="s">
        <v>239</v>
      </c>
      <c r="E6" s="33" t="s">
        <v>165</v>
      </c>
      <c r="F6" s="33" t="s">
        <v>133</v>
      </c>
      <c r="G6" s="33" t="s">
        <v>598</v>
      </c>
      <c r="H6" s="33" t="s">
        <v>599</v>
      </c>
      <c r="I6" s="35" t="s">
        <v>136</v>
      </c>
      <c r="J6" s="36" t="s">
        <v>137</v>
      </c>
      <c r="K6" s="36" t="s">
        <v>137</v>
      </c>
      <c r="L6" s="35" t="s">
        <v>136</v>
      </c>
      <c r="M6" s="35" t="s">
        <v>136</v>
      </c>
      <c r="N6" s="35" t="s">
        <v>136</v>
      </c>
      <c r="O6" s="36" t="s">
        <v>137</v>
      </c>
      <c r="P6" s="33" t="s">
        <v>138</v>
      </c>
      <c r="Q6" s="33" t="s">
        <v>139</v>
      </c>
      <c r="R6" s="33" t="s">
        <v>140</v>
      </c>
      <c r="S6" s="33" t="s">
        <v>141</v>
      </c>
      <c r="T6" s="33" t="s">
        <v>142</v>
      </c>
      <c r="U6" s="33" t="s">
        <v>143</v>
      </c>
      <c r="V6" s="37">
        <v>2</v>
      </c>
      <c r="W6" s="37">
        <v>3</v>
      </c>
      <c r="X6" s="37">
        <v>3</v>
      </c>
      <c r="Y6" s="37">
        <v>3</v>
      </c>
      <c r="Z6" s="37">
        <v>3</v>
      </c>
      <c r="AA6" s="37">
        <v>3</v>
      </c>
      <c r="AB6" s="38">
        <f t="shared" ref="AB6:AB11" si="0">SUM(V6:AA6)</f>
        <v>17</v>
      </c>
      <c r="AC6" s="39" t="s">
        <v>144</v>
      </c>
    </row>
    <row r="7" spans="1:29" ht="67.5" customHeight="1" x14ac:dyDescent="0.2">
      <c r="A7" s="32" t="s">
        <v>600</v>
      </c>
      <c r="B7" s="33" t="s">
        <v>601</v>
      </c>
      <c r="C7" s="41" t="s">
        <v>602</v>
      </c>
      <c r="D7" s="33" t="s">
        <v>572</v>
      </c>
      <c r="E7" s="33" t="s">
        <v>132</v>
      </c>
      <c r="F7" s="33" t="s">
        <v>133</v>
      </c>
      <c r="G7" s="33" t="s">
        <v>603</v>
      </c>
      <c r="H7" s="33" t="s">
        <v>604</v>
      </c>
      <c r="I7" s="35" t="s">
        <v>136</v>
      </c>
      <c r="J7" s="36" t="s">
        <v>137</v>
      </c>
      <c r="K7" s="35" t="s">
        <v>136</v>
      </c>
      <c r="L7" s="35" t="s">
        <v>136</v>
      </c>
      <c r="M7" s="35" t="s">
        <v>136</v>
      </c>
      <c r="N7" s="36" t="s">
        <v>137</v>
      </c>
      <c r="O7" s="36" t="s">
        <v>137</v>
      </c>
      <c r="P7" s="33" t="s">
        <v>152</v>
      </c>
      <c r="Q7" s="33" t="s">
        <v>139</v>
      </c>
      <c r="R7" s="33" t="s">
        <v>140</v>
      </c>
      <c r="S7" s="33" t="s">
        <v>141</v>
      </c>
      <c r="T7" s="33" t="s">
        <v>191</v>
      </c>
      <c r="U7" s="33" t="s">
        <v>143</v>
      </c>
      <c r="V7" s="37">
        <v>3</v>
      </c>
      <c r="W7" s="37">
        <v>3</v>
      </c>
      <c r="X7" s="37">
        <v>3</v>
      </c>
      <c r="Y7" s="37">
        <v>3</v>
      </c>
      <c r="Z7" s="37">
        <v>2</v>
      </c>
      <c r="AA7" s="37">
        <v>3</v>
      </c>
      <c r="AB7" s="38">
        <f t="shared" si="0"/>
        <v>17</v>
      </c>
      <c r="AC7" s="39" t="s">
        <v>144</v>
      </c>
    </row>
    <row r="8" spans="1:29" ht="67.5" customHeight="1" x14ac:dyDescent="0.2">
      <c r="A8" s="32" t="s">
        <v>605</v>
      </c>
      <c r="B8" s="33" t="s">
        <v>606</v>
      </c>
      <c r="C8" s="41" t="s">
        <v>607</v>
      </c>
      <c r="D8" s="33" t="s">
        <v>405</v>
      </c>
      <c r="E8" s="33" t="s">
        <v>158</v>
      </c>
      <c r="F8" s="33" t="s">
        <v>133</v>
      </c>
      <c r="G8" s="33" t="s">
        <v>608</v>
      </c>
      <c r="H8" s="33" t="s">
        <v>609</v>
      </c>
      <c r="I8" s="36" t="s">
        <v>137</v>
      </c>
      <c r="J8" s="36" t="s">
        <v>137</v>
      </c>
      <c r="K8" s="36" t="s">
        <v>137</v>
      </c>
      <c r="L8" s="35" t="s">
        <v>136</v>
      </c>
      <c r="M8" s="35" t="s">
        <v>136</v>
      </c>
      <c r="N8" s="36" t="s">
        <v>137</v>
      </c>
      <c r="O8" s="36" t="s">
        <v>137</v>
      </c>
      <c r="P8" s="33" t="s">
        <v>152</v>
      </c>
      <c r="Q8" s="33" t="s">
        <v>190</v>
      </c>
      <c r="R8" s="33" t="s">
        <v>252</v>
      </c>
      <c r="S8" s="33" t="s">
        <v>153</v>
      </c>
      <c r="T8" s="33" t="s">
        <v>191</v>
      </c>
      <c r="U8" s="33" t="s">
        <v>143</v>
      </c>
      <c r="V8" s="37">
        <v>3</v>
      </c>
      <c r="W8" s="37">
        <v>2</v>
      </c>
      <c r="X8" s="37">
        <v>1</v>
      </c>
      <c r="Y8" s="37">
        <v>2</v>
      </c>
      <c r="Z8" s="37">
        <v>2</v>
      </c>
      <c r="AA8" s="37">
        <v>3</v>
      </c>
      <c r="AB8" s="38">
        <f t="shared" si="0"/>
        <v>13</v>
      </c>
      <c r="AC8" s="39" t="s">
        <v>192</v>
      </c>
    </row>
    <row r="9" spans="1:29" ht="67.5" customHeight="1" x14ac:dyDescent="0.2">
      <c r="A9" s="32" t="s">
        <v>610</v>
      </c>
      <c r="B9" s="33" t="s">
        <v>611</v>
      </c>
      <c r="C9" s="41" t="s">
        <v>612</v>
      </c>
      <c r="D9" s="33" t="s">
        <v>330</v>
      </c>
      <c r="E9" s="33" t="s">
        <v>149</v>
      </c>
      <c r="F9" s="33" t="s">
        <v>133</v>
      </c>
      <c r="G9" s="33" t="s">
        <v>613</v>
      </c>
      <c r="H9" s="33" t="s">
        <v>614</v>
      </c>
      <c r="I9" s="36" t="s">
        <v>137</v>
      </c>
      <c r="J9" s="36" t="s">
        <v>137</v>
      </c>
      <c r="K9" s="36" t="s">
        <v>137</v>
      </c>
      <c r="L9" s="35" t="s">
        <v>136</v>
      </c>
      <c r="M9" s="36" t="s">
        <v>137</v>
      </c>
      <c r="N9" s="36" t="s">
        <v>137</v>
      </c>
      <c r="O9" s="36" t="s">
        <v>137</v>
      </c>
      <c r="P9" s="33" t="s">
        <v>152</v>
      </c>
      <c r="Q9" s="33" t="s">
        <v>139</v>
      </c>
      <c r="R9" s="33" t="s">
        <v>140</v>
      </c>
      <c r="S9" s="33" t="s">
        <v>153</v>
      </c>
      <c r="T9" s="33" t="s">
        <v>191</v>
      </c>
      <c r="U9" s="33" t="s">
        <v>143</v>
      </c>
      <c r="V9" s="37">
        <v>3</v>
      </c>
      <c r="W9" s="37">
        <v>3</v>
      </c>
      <c r="X9" s="37">
        <v>3</v>
      </c>
      <c r="Y9" s="37">
        <v>2</v>
      </c>
      <c r="Z9" s="37">
        <v>2</v>
      </c>
      <c r="AA9" s="37">
        <v>3</v>
      </c>
      <c r="AB9" s="38">
        <f t="shared" si="0"/>
        <v>16</v>
      </c>
      <c r="AC9" s="39" t="s">
        <v>144</v>
      </c>
    </row>
    <row r="10" spans="1:29" ht="67.5" customHeight="1" x14ac:dyDescent="0.2">
      <c r="A10" s="32" t="s">
        <v>615</v>
      </c>
      <c r="B10" s="33" t="s">
        <v>616</v>
      </c>
      <c r="C10" s="41" t="s">
        <v>617</v>
      </c>
      <c r="D10" s="33" t="s">
        <v>618</v>
      </c>
      <c r="E10" s="33" t="s">
        <v>132</v>
      </c>
      <c r="F10" s="33" t="s">
        <v>133</v>
      </c>
      <c r="G10" s="33" t="s">
        <v>619</v>
      </c>
      <c r="H10" s="33" t="s">
        <v>620</v>
      </c>
      <c r="I10" s="36" t="s">
        <v>137</v>
      </c>
      <c r="J10" s="36" t="s">
        <v>137</v>
      </c>
      <c r="K10" s="35" t="s">
        <v>136</v>
      </c>
      <c r="L10" s="36" t="s">
        <v>137</v>
      </c>
      <c r="M10" s="36" t="s">
        <v>137</v>
      </c>
      <c r="N10" s="36" t="s">
        <v>137</v>
      </c>
      <c r="O10" s="36" t="s">
        <v>137</v>
      </c>
      <c r="P10" s="33" t="s">
        <v>152</v>
      </c>
      <c r="Q10" s="33" t="s">
        <v>190</v>
      </c>
      <c r="R10" s="33" t="s">
        <v>252</v>
      </c>
      <c r="S10" s="33" t="s">
        <v>141</v>
      </c>
      <c r="T10" s="33" t="s">
        <v>191</v>
      </c>
      <c r="U10" s="33" t="s">
        <v>143</v>
      </c>
      <c r="V10" s="37">
        <v>3</v>
      </c>
      <c r="W10" s="37">
        <v>2</v>
      </c>
      <c r="X10" s="37">
        <v>1</v>
      </c>
      <c r="Y10" s="37">
        <v>3</v>
      </c>
      <c r="Z10" s="37">
        <v>2</v>
      </c>
      <c r="AA10" s="37">
        <v>3</v>
      </c>
      <c r="AB10" s="38">
        <f t="shared" si="0"/>
        <v>14</v>
      </c>
      <c r="AC10" s="39" t="s">
        <v>192</v>
      </c>
    </row>
    <row r="11" spans="1:29" ht="67.5" customHeight="1" x14ac:dyDescent="0.2">
      <c r="A11" s="32" t="s">
        <v>621</v>
      </c>
      <c r="B11" s="33" t="s">
        <v>622</v>
      </c>
      <c r="C11" s="41" t="s">
        <v>623</v>
      </c>
      <c r="D11" s="33" t="s">
        <v>239</v>
      </c>
      <c r="E11" s="33" t="s">
        <v>165</v>
      </c>
      <c r="F11" s="33" t="s">
        <v>133</v>
      </c>
      <c r="G11" s="33" t="s">
        <v>624</v>
      </c>
      <c r="H11" s="33" t="s">
        <v>625</v>
      </c>
      <c r="I11" s="36" t="s">
        <v>137</v>
      </c>
      <c r="J11" s="36" t="s">
        <v>137</v>
      </c>
      <c r="K11" s="36" t="s">
        <v>137</v>
      </c>
      <c r="L11" s="36" t="s">
        <v>137</v>
      </c>
      <c r="M11" s="36" t="s">
        <v>137</v>
      </c>
      <c r="N11" s="36" t="s">
        <v>137</v>
      </c>
      <c r="O11" s="36" t="s">
        <v>137</v>
      </c>
      <c r="P11" s="33" t="s">
        <v>152</v>
      </c>
      <c r="Q11" s="33" t="s">
        <v>190</v>
      </c>
      <c r="R11" s="33" t="s">
        <v>182</v>
      </c>
      <c r="S11" s="33" t="s">
        <v>141</v>
      </c>
      <c r="T11" s="33" t="s">
        <v>191</v>
      </c>
      <c r="U11" s="33" t="s">
        <v>143</v>
      </c>
      <c r="V11" s="37">
        <v>3</v>
      </c>
      <c r="W11" s="37">
        <v>2</v>
      </c>
      <c r="X11" s="37">
        <v>2</v>
      </c>
      <c r="Y11" s="37">
        <v>3</v>
      </c>
      <c r="Z11" s="37">
        <v>2</v>
      </c>
      <c r="AA11" s="37">
        <v>3</v>
      </c>
      <c r="AB11" s="38">
        <f t="shared" si="0"/>
        <v>15</v>
      </c>
      <c r="AC11" s="39" t="s">
        <v>144</v>
      </c>
    </row>
  </sheetData>
  <autoFilter ref="A4:AC11" xr:uid="{00000000-0009-0000-0000-000008000000}"/>
  <mergeCells count="7">
    <mergeCell ref="A5:AC5"/>
    <mergeCell ref="A1:AC1"/>
    <mergeCell ref="A2:AC2"/>
    <mergeCell ref="A3:H3"/>
    <mergeCell ref="I3:O3"/>
    <mergeCell ref="P3:U3"/>
    <mergeCell ref="V3:AC3"/>
  </mergeCells>
  <dataValidations count="7">
    <dataValidation type="list" allowBlank="1" sqref="U5:U11" xr:uid="{00000000-0002-0000-0800-000000000000}">
      <formula1>"High – Global Reach,Medium – National / Regional Reach,Low – Local Reach"</formula1>
      <formula2>0</formula2>
    </dataValidation>
    <dataValidation type="list" allowBlank="1" sqref="T5:T11" xr:uid="{00000000-0002-0000-0800-000001000000}">
      <formula1>"High – Global / Leading Organization,Medium – Established Sector Organization,Low – Emerging / Independent Organizer"</formula1>
      <formula2>0</formula2>
    </dataValidation>
    <dataValidation type="list" allowBlank="1" sqref="S5:S11" xr:uid="{00000000-0002-0000-0800-000002000000}">
      <formula1>"High – Senior Leaders / Decision-Makers,Medium – Field Experts / Professionals,Low – Emerging / General Profiles"</formula1>
      <formula2>0</formula2>
    </dataValidation>
    <dataValidation type="list" allowBlank="1" sqref="R5:R11" xr:uid="{00000000-0002-0000-0800-000003000000}">
      <formula1>"High – Large Event (1,000+ participants),Medium – Mid-size Event (300–1,000 participants),Low – Small Event (&lt;300 participants)"</formula1>
      <formula2>0</formula2>
    </dataValidation>
    <dataValidation type="list" allowBlank="1" sqref="Q5:Q11" xr:uid="{00000000-0002-0000-0800-000004000000}">
      <formula1>"High – International Recognition,Medium – Sector/National Recognition,Low – Emerging/Niche Recognition"</formula1>
      <formula2>0</formula2>
    </dataValidation>
    <dataValidation type="list" allowBlank="1" sqref="P5:P11" xr:uid="{00000000-0002-0000-0800-000005000000}">
      <formula1>"High – Long-established Event (10+ years),Medium – Established Event (3–9 years),Low – New / Emerging Event (&lt;3 years)"</formula1>
      <formula2>0</formula2>
    </dataValidation>
    <dataValidation type="list" allowBlank="1" sqref="I5:O11" xr:uid="{00000000-0002-0000-0800-000006000000}">
      <formula1>"Yes,No"</formula1>
      <formula2>0</formula2>
    </dataValidation>
  </dataValidation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AC7"/>
  <sheetViews>
    <sheetView zoomScale="85" zoomScaleNormal="85" workbookViewId="0">
      <pane xSplit="1" ySplit="4" topLeftCell="B5" activePane="bottomRight" state="frozen"/>
      <selection pane="topRight" activeCell="B1" sqref="B1"/>
      <selection pane="bottomLeft" activeCell="A5" sqref="A5"/>
      <selection pane="bottomRight" activeCell="R30" sqref="R30"/>
    </sheetView>
  </sheetViews>
  <sheetFormatPr baseColWidth="10" defaultColWidth="10.6640625" defaultRowHeight="15" x14ac:dyDescent="0.2"/>
  <cols>
    <col min="1" max="1" width="32" customWidth="1"/>
    <col min="2" max="2" width="46" customWidth="1"/>
    <col min="3" max="3" width="24" customWidth="1"/>
    <col min="4" max="4" width="20" customWidth="1"/>
    <col min="5" max="5" width="12" customWidth="1"/>
    <col min="6" max="6" width="11" customWidth="1"/>
    <col min="7" max="7" width="24" customWidth="1"/>
    <col min="8" max="8" width="32" customWidth="1"/>
    <col min="9" max="15" width="11" customWidth="1"/>
    <col min="16" max="21" width="24" customWidth="1"/>
    <col min="22" max="27" width="8.5" customWidth="1"/>
    <col min="28" max="28" width="9" customWidth="1"/>
    <col min="29" max="29" width="24" customWidth="1"/>
  </cols>
  <sheetData>
    <row r="1" spans="1:29" ht="33.75" customHeight="1" x14ac:dyDescent="0.2">
      <c r="A1" s="13" t="s">
        <v>98</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row>
    <row r="2" spans="1:29" ht="19.5" customHeight="1" x14ac:dyDescent="0.2">
      <c r="A2" s="12" t="s">
        <v>99</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row>
    <row r="3" spans="1:29" ht="19.5" customHeight="1" x14ac:dyDescent="0.2">
      <c r="A3" s="11" t="s">
        <v>100</v>
      </c>
      <c r="B3" s="11"/>
      <c r="C3" s="11"/>
      <c r="D3" s="11"/>
      <c r="E3" s="11"/>
      <c r="F3" s="11"/>
      <c r="G3" s="11"/>
      <c r="H3" s="11"/>
      <c r="I3" s="11" t="s">
        <v>101</v>
      </c>
      <c r="J3" s="11"/>
      <c r="K3" s="11"/>
      <c r="L3" s="11"/>
      <c r="M3" s="11"/>
      <c r="N3" s="11"/>
      <c r="O3" s="11"/>
      <c r="P3" s="10" t="s">
        <v>102</v>
      </c>
      <c r="Q3" s="10"/>
      <c r="R3" s="10"/>
      <c r="S3" s="10"/>
      <c r="T3" s="10"/>
      <c r="U3" s="10"/>
      <c r="V3" s="9" t="s">
        <v>103</v>
      </c>
      <c r="W3" s="9"/>
      <c r="X3" s="9"/>
      <c r="Y3" s="9"/>
      <c r="Z3" s="9"/>
      <c r="AA3" s="9"/>
      <c r="AB3" s="9"/>
      <c r="AC3" s="9"/>
    </row>
    <row r="4" spans="1:29" ht="43.5" customHeight="1" x14ac:dyDescent="0.2">
      <c r="A4" s="28" t="s">
        <v>2</v>
      </c>
      <c r="B4" s="28" t="s">
        <v>4</v>
      </c>
      <c r="C4" s="28" t="s">
        <v>104</v>
      </c>
      <c r="D4" s="28" t="s">
        <v>5</v>
      </c>
      <c r="E4" s="28" t="s">
        <v>105</v>
      </c>
      <c r="F4" s="28" t="s">
        <v>106</v>
      </c>
      <c r="G4" s="28" t="s">
        <v>7</v>
      </c>
      <c r="H4" s="28" t="s">
        <v>9</v>
      </c>
      <c r="I4" s="28" t="s">
        <v>107</v>
      </c>
      <c r="J4" s="28" t="s">
        <v>108</v>
      </c>
      <c r="K4" s="28" t="s">
        <v>109</v>
      </c>
      <c r="L4" s="28" t="s">
        <v>110</v>
      </c>
      <c r="M4" s="28" t="s">
        <v>111</v>
      </c>
      <c r="N4" s="28" t="s">
        <v>112</v>
      </c>
      <c r="O4" s="28" t="s">
        <v>113</v>
      </c>
      <c r="P4" s="29" t="s">
        <v>114</v>
      </c>
      <c r="Q4" s="29" t="s">
        <v>115</v>
      </c>
      <c r="R4" s="29" t="s">
        <v>116</v>
      </c>
      <c r="S4" s="29" t="s">
        <v>117</v>
      </c>
      <c r="T4" s="29" t="s">
        <v>118</v>
      </c>
      <c r="U4" s="29" t="s">
        <v>119</v>
      </c>
      <c r="V4" s="30" t="s">
        <v>120</v>
      </c>
      <c r="W4" s="30" t="s">
        <v>121</v>
      </c>
      <c r="X4" s="30" t="s">
        <v>122</v>
      </c>
      <c r="Y4" s="30" t="s">
        <v>123</v>
      </c>
      <c r="Z4" s="30" t="s">
        <v>124</v>
      </c>
      <c r="AA4" s="30" t="s">
        <v>125</v>
      </c>
      <c r="AB4" s="31" t="s">
        <v>126</v>
      </c>
      <c r="AC4" s="31" t="s">
        <v>127</v>
      </c>
    </row>
    <row r="5" spans="1:29" s="42" customFormat="1" ht="19.5" customHeight="1" x14ac:dyDescent="0.2">
      <c r="A5" s="2" t="s">
        <v>626</v>
      </c>
      <c r="B5" s="2"/>
      <c r="C5" s="2"/>
      <c r="D5" s="2"/>
      <c r="E5" s="2"/>
      <c r="F5" s="2"/>
      <c r="G5" s="2"/>
      <c r="H5" s="2"/>
      <c r="I5" s="2"/>
      <c r="J5" s="2"/>
      <c r="K5" s="2"/>
      <c r="L5" s="2"/>
      <c r="M5" s="2"/>
      <c r="N5" s="2"/>
      <c r="O5" s="2"/>
      <c r="P5" s="2"/>
      <c r="Q5" s="2"/>
      <c r="R5" s="2"/>
      <c r="S5" s="2"/>
      <c r="T5" s="2"/>
      <c r="U5" s="2"/>
      <c r="V5" s="2"/>
      <c r="W5" s="2"/>
      <c r="X5" s="2"/>
      <c r="Y5" s="2"/>
      <c r="Z5" s="2"/>
      <c r="AA5" s="2"/>
      <c r="AB5" s="2"/>
      <c r="AC5" s="2"/>
    </row>
    <row r="6" spans="1:29" ht="67.5" customHeight="1" x14ac:dyDescent="0.2">
      <c r="A6" s="32" t="s">
        <v>627</v>
      </c>
      <c r="B6" s="33" t="s">
        <v>628</v>
      </c>
      <c r="C6" s="41" t="s">
        <v>629</v>
      </c>
      <c r="D6" s="33" t="s">
        <v>630</v>
      </c>
      <c r="E6" s="33" t="s">
        <v>631</v>
      </c>
      <c r="F6" s="33" t="s">
        <v>133</v>
      </c>
      <c r="G6" s="33" t="s">
        <v>632</v>
      </c>
      <c r="H6" s="33" t="s">
        <v>633</v>
      </c>
      <c r="I6" s="35" t="s">
        <v>136</v>
      </c>
      <c r="J6" s="36" t="s">
        <v>137</v>
      </c>
      <c r="K6" s="36" t="s">
        <v>137</v>
      </c>
      <c r="L6" s="35" t="s">
        <v>136</v>
      </c>
      <c r="M6" s="35" t="s">
        <v>136</v>
      </c>
      <c r="N6" s="36" t="s">
        <v>137</v>
      </c>
      <c r="O6" s="35" t="s">
        <v>136</v>
      </c>
      <c r="P6" s="33" t="s">
        <v>250</v>
      </c>
      <c r="Q6" s="33" t="s">
        <v>190</v>
      </c>
      <c r="R6" s="33" t="s">
        <v>140</v>
      </c>
      <c r="S6" s="33" t="s">
        <v>141</v>
      </c>
      <c r="T6" s="33" t="s">
        <v>243</v>
      </c>
      <c r="U6" s="33" t="s">
        <v>143</v>
      </c>
      <c r="V6" s="37">
        <v>1</v>
      </c>
      <c r="W6" s="37">
        <v>2</v>
      </c>
      <c r="X6" s="37">
        <v>3</v>
      </c>
      <c r="Y6" s="37">
        <v>3</v>
      </c>
      <c r="Z6" s="37">
        <v>1</v>
      </c>
      <c r="AA6" s="37">
        <v>3</v>
      </c>
      <c r="AB6" s="38">
        <f>SUM(V6:AA6)</f>
        <v>13</v>
      </c>
      <c r="AC6" s="39" t="s">
        <v>192</v>
      </c>
    </row>
    <row r="7" spans="1:29" ht="67.5" customHeight="1" x14ac:dyDescent="0.2">
      <c r="A7" s="32" t="s">
        <v>634</v>
      </c>
      <c r="B7" s="33" t="s">
        <v>635</v>
      </c>
      <c r="C7" s="41" t="s">
        <v>636</v>
      </c>
      <c r="D7" s="33" t="s">
        <v>630</v>
      </c>
      <c r="E7" s="33" t="s">
        <v>165</v>
      </c>
      <c r="F7" s="33" t="s">
        <v>133</v>
      </c>
      <c r="G7" s="33" t="s">
        <v>637</v>
      </c>
      <c r="H7" s="33" t="s">
        <v>638</v>
      </c>
      <c r="I7" s="35" t="s">
        <v>136</v>
      </c>
      <c r="J7" s="35" t="s">
        <v>136</v>
      </c>
      <c r="K7" s="35" t="s">
        <v>136</v>
      </c>
      <c r="L7" s="35" t="s">
        <v>136</v>
      </c>
      <c r="M7" s="35" t="s">
        <v>136</v>
      </c>
      <c r="N7" s="36" t="s">
        <v>137</v>
      </c>
      <c r="O7" s="36" t="s">
        <v>137</v>
      </c>
      <c r="P7" s="33" t="s">
        <v>152</v>
      </c>
      <c r="Q7" s="33" t="s">
        <v>139</v>
      </c>
      <c r="R7" s="33" t="s">
        <v>140</v>
      </c>
      <c r="S7" s="34" t="s">
        <v>452</v>
      </c>
      <c r="T7" s="33" t="s">
        <v>142</v>
      </c>
      <c r="U7" s="33" t="s">
        <v>143</v>
      </c>
      <c r="V7" s="37">
        <v>3</v>
      </c>
      <c r="W7" s="37">
        <v>3</v>
      </c>
      <c r="X7" s="37">
        <v>3</v>
      </c>
      <c r="Y7" s="37">
        <v>3</v>
      </c>
      <c r="Z7" s="37">
        <v>3</v>
      </c>
      <c r="AA7" s="37">
        <v>3</v>
      </c>
      <c r="AB7" s="38">
        <f>SUM(V7:AA7)</f>
        <v>18</v>
      </c>
      <c r="AC7" s="39" t="s">
        <v>144</v>
      </c>
    </row>
  </sheetData>
  <autoFilter ref="A4:AC7" xr:uid="{00000000-0009-0000-0000-000009000000}"/>
  <mergeCells count="7">
    <mergeCell ref="A5:AC5"/>
    <mergeCell ref="A1:AC1"/>
    <mergeCell ref="A2:AC2"/>
    <mergeCell ref="A3:H3"/>
    <mergeCell ref="I3:O3"/>
    <mergeCell ref="P3:U3"/>
    <mergeCell ref="V3:AC3"/>
  </mergeCells>
  <dataValidations count="7">
    <dataValidation type="list" allowBlank="1" sqref="U5:U7" xr:uid="{00000000-0002-0000-0900-000000000000}">
      <formula1>"High – Global Reach,Medium – National / Regional Reach,Low – Local Reach"</formula1>
      <formula2>0</formula2>
    </dataValidation>
    <dataValidation type="list" allowBlank="1" sqref="T5:T7" xr:uid="{00000000-0002-0000-0900-000001000000}">
      <formula1>"High – Global / Leading Organization,Medium – Established Sector Organization,Low – Emerging / Independent Organizer"</formula1>
      <formula2>0</formula2>
    </dataValidation>
    <dataValidation type="list" allowBlank="1" sqref="S5:S7" xr:uid="{00000000-0002-0000-0900-000002000000}">
      <formula1>"High – Senior Leaders / Decision-Makers,Medium – Field Experts / Professionals,Low – Emerging / General Profiles"</formula1>
      <formula2>0</formula2>
    </dataValidation>
    <dataValidation type="list" allowBlank="1" sqref="R5:R7" xr:uid="{00000000-0002-0000-0900-000003000000}">
      <formula1>"High – Large Event (1,000+ participants),Medium – Mid-size Event (300–1,000 participants),Low – Small Event (&lt;300 participants)"</formula1>
      <formula2>0</formula2>
    </dataValidation>
    <dataValidation type="list" allowBlank="1" sqref="Q5:Q7" xr:uid="{00000000-0002-0000-0900-000004000000}">
      <formula1>"High – International Recognition,Medium – Sector/National Recognition,Low – Emerging/Niche Recognition"</formula1>
      <formula2>0</formula2>
    </dataValidation>
    <dataValidation type="list" allowBlank="1" sqref="P5:P7" xr:uid="{00000000-0002-0000-0900-000005000000}">
      <formula1>"High – Long-established Event (10+ years),Medium – Established Event (3–9 years),Low – New / Emerging Event (&lt;3 years)"</formula1>
      <formula2>0</formula2>
    </dataValidation>
    <dataValidation type="list" allowBlank="1" sqref="I5:O7" xr:uid="{00000000-0002-0000-0900-000006000000}">
      <formula1>"Yes,No"</formula1>
      <formula2>0</formula2>
    </dataValidation>
  </dataValidations>
  <hyperlinks>
    <hyperlink ref="S7" r:id="rId1" xr:uid="{00000000-0004-0000-0900-000000000000}"/>
  </hyperlink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F8F00"/>
  </sheetPr>
  <dimension ref="A1:F40"/>
  <sheetViews>
    <sheetView showGridLines="0" zoomScale="90" zoomScaleNormal="90" workbookViewId="0">
      <pane ySplit="1" topLeftCell="A2" activePane="bottomLeft" state="frozen"/>
      <selection pane="bottomLeft"/>
    </sheetView>
  </sheetViews>
  <sheetFormatPr baseColWidth="10" defaultColWidth="8.6640625" defaultRowHeight="15" x14ac:dyDescent="0.2"/>
  <cols>
    <col min="1" max="1" width="26" customWidth="1"/>
    <col min="2" max="4" width="46" customWidth="1"/>
    <col min="5" max="5" width="10" customWidth="1"/>
    <col min="6" max="6" width="38" customWidth="1"/>
  </cols>
  <sheetData>
    <row r="1" spans="1:6" ht="33.75" customHeight="1" x14ac:dyDescent="0.2">
      <c r="A1" s="1" t="s">
        <v>639</v>
      </c>
      <c r="B1" s="1"/>
      <c r="C1" s="1"/>
      <c r="D1" s="1"/>
      <c r="E1" s="1"/>
      <c r="F1" s="1"/>
    </row>
    <row r="3" spans="1:6" ht="21.75" customHeight="1" x14ac:dyDescent="0.2">
      <c r="A3" s="56" t="s">
        <v>640</v>
      </c>
      <c r="B3" s="56"/>
      <c r="C3" s="56"/>
      <c r="D3" s="56"/>
      <c r="E3" s="56"/>
      <c r="F3" s="56"/>
    </row>
    <row r="4" spans="1:6" ht="21.75" customHeight="1" x14ac:dyDescent="0.2">
      <c r="A4" s="43" t="s">
        <v>641</v>
      </c>
      <c r="B4" s="43" t="s">
        <v>642</v>
      </c>
      <c r="C4" s="43" t="s">
        <v>643</v>
      </c>
      <c r="D4" s="43" t="s">
        <v>644</v>
      </c>
      <c r="E4" s="43" t="s">
        <v>645</v>
      </c>
      <c r="F4" s="43" t="s">
        <v>646</v>
      </c>
    </row>
    <row r="5" spans="1:6" ht="45.75" customHeight="1" x14ac:dyDescent="0.2">
      <c r="A5" s="44" t="s">
        <v>114</v>
      </c>
      <c r="B5" s="44" t="s">
        <v>647</v>
      </c>
      <c r="C5" s="44" t="s">
        <v>648</v>
      </c>
      <c r="D5" s="44" t="s">
        <v>649</v>
      </c>
      <c r="E5" s="44" t="s">
        <v>650</v>
      </c>
      <c r="F5" s="44" t="s">
        <v>651</v>
      </c>
    </row>
    <row r="6" spans="1:6" ht="45.75" customHeight="1" x14ac:dyDescent="0.2">
      <c r="A6" s="45" t="s">
        <v>115</v>
      </c>
      <c r="B6" s="45" t="s">
        <v>652</v>
      </c>
      <c r="C6" s="45" t="s">
        <v>653</v>
      </c>
      <c r="D6" s="45" t="s">
        <v>654</v>
      </c>
      <c r="E6" s="45" t="s">
        <v>650</v>
      </c>
      <c r="F6" s="45" t="s">
        <v>655</v>
      </c>
    </row>
    <row r="7" spans="1:6" ht="45.75" customHeight="1" x14ac:dyDescent="0.2">
      <c r="A7" s="44" t="s">
        <v>116</v>
      </c>
      <c r="B7" s="44" t="s">
        <v>656</v>
      </c>
      <c r="C7" s="44" t="s">
        <v>657</v>
      </c>
      <c r="D7" s="44" t="s">
        <v>658</v>
      </c>
      <c r="E7" s="44" t="s">
        <v>650</v>
      </c>
      <c r="F7" s="44" t="s">
        <v>659</v>
      </c>
    </row>
    <row r="8" spans="1:6" ht="45.75" customHeight="1" x14ac:dyDescent="0.2">
      <c r="A8" s="45" t="s">
        <v>117</v>
      </c>
      <c r="B8" s="45" t="s">
        <v>660</v>
      </c>
      <c r="C8" s="45" t="s">
        <v>661</v>
      </c>
      <c r="D8" s="45" t="s">
        <v>662</v>
      </c>
      <c r="E8" s="45" t="s">
        <v>650</v>
      </c>
      <c r="F8" s="45" t="s">
        <v>663</v>
      </c>
    </row>
    <row r="9" spans="1:6" ht="45.75" customHeight="1" x14ac:dyDescent="0.2">
      <c r="A9" s="44" t="s">
        <v>118</v>
      </c>
      <c r="B9" s="44" t="s">
        <v>664</v>
      </c>
      <c r="C9" s="44" t="s">
        <v>665</v>
      </c>
      <c r="D9" s="44" t="s">
        <v>666</v>
      </c>
      <c r="E9" s="44" t="s">
        <v>650</v>
      </c>
      <c r="F9" s="44" t="s">
        <v>667</v>
      </c>
    </row>
    <row r="10" spans="1:6" ht="45.75" customHeight="1" x14ac:dyDescent="0.2">
      <c r="A10" s="45" t="s">
        <v>119</v>
      </c>
      <c r="B10" s="45" t="s">
        <v>668</v>
      </c>
      <c r="C10" s="45" t="s">
        <v>669</v>
      </c>
      <c r="D10" s="45" t="s">
        <v>670</v>
      </c>
      <c r="E10" s="45" t="s">
        <v>650</v>
      </c>
      <c r="F10" s="45" t="s">
        <v>671</v>
      </c>
    </row>
    <row r="12" spans="1:6" ht="21.75" customHeight="1" x14ac:dyDescent="0.2">
      <c r="A12" s="57" t="s">
        <v>672</v>
      </c>
      <c r="B12" s="57"/>
      <c r="C12" s="57"/>
      <c r="D12" s="57"/>
      <c r="E12" s="57"/>
      <c r="F12" s="57"/>
    </row>
    <row r="13" spans="1:6" ht="21.75" customHeight="1" x14ac:dyDescent="0.2">
      <c r="A13" s="46" t="s">
        <v>673</v>
      </c>
      <c r="B13" s="46" t="s">
        <v>674</v>
      </c>
      <c r="C13" s="46" t="s">
        <v>675</v>
      </c>
      <c r="D13" s="47"/>
    </row>
    <row r="14" spans="1:6" ht="45.75" customHeight="1" x14ac:dyDescent="0.2">
      <c r="A14" s="48" t="s">
        <v>144</v>
      </c>
      <c r="B14" s="48" t="s">
        <v>676</v>
      </c>
      <c r="C14" s="48" t="s">
        <v>677</v>
      </c>
      <c r="D14" s="49"/>
    </row>
    <row r="15" spans="1:6" ht="45.75" customHeight="1" x14ac:dyDescent="0.2">
      <c r="A15" s="50" t="s">
        <v>192</v>
      </c>
      <c r="B15" s="50" t="s">
        <v>678</v>
      </c>
      <c r="C15" s="50" t="s">
        <v>679</v>
      </c>
      <c r="D15" s="51"/>
    </row>
    <row r="16" spans="1:6" ht="45.75" customHeight="1" x14ac:dyDescent="0.2">
      <c r="A16" s="52" t="s">
        <v>253</v>
      </c>
      <c r="B16" s="52" t="s">
        <v>680</v>
      </c>
      <c r="C16" s="52" t="s">
        <v>681</v>
      </c>
      <c r="D16" s="53"/>
    </row>
    <row r="18" spans="1:6" ht="21.75" customHeight="1" x14ac:dyDescent="0.2">
      <c r="A18" s="58" t="s">
        <v>682</v>
      </c>
      <c r="B18" s="58"/>
      <c r="C18" s="58"/>
      <c r="D18" s="58"/>
      <c r="E18" s="58"/>
      <c r="F18" s="58"/>
    </row>
    <row r="19" spans="1:6" ht="21.75" customHeight="1" x14ac:dyDescent="0.2">
      <c r="A19" s="54" t="s">
        <v>683</v>
      </c>
      <c r="B19" s="59" t="s">
        <v>684</v>
      </c>
      <c r="C19" s="59"/>
      <c r="D19" s="59"/>
      <c r="E19" s="59"/>
      <c r="F19" s="59"/>
    </row>
    <row r="20" spans="1:6" ht="45.75" customHeight="1" x14ac:dyDescent="0.2">
      <c r="A20" s="55" t="s">
        <v>685</v>
      </c>
      <c r="B20" s="60" t="s">
        <v>686</v>
      </c>
      <c r="C20" s="60"/>
      <c r="D20" s="60"/>
      <c r="E20" s="60"/>
      <c r="F20" s="60"/>
    </row>
    <row r="21" spans="1:6" ht="45.75" customHeight="1" x14ac:dyDescent="0.2">
      <c r="A21" s="55" t="s">
        <v>687</v>
      </c>
      <c r="B21" s="60" t="s">
        <v>688</v>
      </c>
      <c r="C21" s="60"/>
      <c r="D21" s="60"/>
      <c r="E21" s="60"/>
      <c r="F21" s="60"/>
    </row>
    <row r="22" spans="1:6" ht="45.75" customHeight="1" x14ac:dyDescent="0.2">
      <c r="A22" s="55" t="s">
        <v>689</v>
      </c>
      <c r="B22" s="60" t="s">
        <v>690</v>
      </c>
      <c r="C22" s="60"/>
      <c r="D22" s="60"/>
      <c r="E22" s="60"/>
      <c r="F22" s="60"/>
    </row>
    <row r="23" spans="1:6" ht="45.75" customHeight="1" x14ac:dyDescent="0.2">
      <c r="A23" s="55" t="s">
        <v>691</v>
      </c>
      <c r="B23" s="60" t="s">
        <v>692</v>
      </c>
      <c r="C23" s="60"/>
      <c r="D23" s="60"/>
      <c r="E23" s="60"/>
      <c r="F23" s="60"/>
    </row>
    <row r="24" spans="1:6" ht="15" customHeight="1" x14ac:dyDescent="0.2"/>
    <row r="25" spans="1:6" ht="15.75" customHeight="1" x14ac:dyDescent="0.2"/>
    <row r="26" spans="1:6" ht="15" customHeight="1" x14ac:dyDescent="0.2"/>
    <row r="27" spans="1:6" ht="15" customHeight="1" x14ac:dyDescent="0.2"/>
    <row r="28" spans="1:6" ht="15.75" customHeight="1" x14ac:dyDescent="0.2"/>
    <row r="29" spans="1:6" ht="15" customHeight="1" x14ac:dyDescent="0.2"/>
    <row r="30" spans="1:6" ht="15" customHeight="1" x14ac:dyDescent="0.2"/>
    <row r="31" spans="1:6" ht="15" customHeight="1" x14ac:dyDescent="0.2"/>
    <row r="32" spans="1:6" ht="15.75" customHeight="1" x14ac:dyDescent="0.2"/>
    <row r="33" ht="15" customHeight="1" x14ac:dyDescent="0.2"/>
    <row r="34" ht="15" customHeight="1" x14ac:dyDescent="0.2"/>
    <row r="35" ht="15.75" customHeight="1" x14ac:dyDescent="0.2"/>
    <row r="36" ht="15" customHeight="1" x14ac:dyDescent="0.2"/>
    <row r="37" ht="15" customHeight="1" x14ac:dyDescent="0.2"/>
    <row r="38" ht="15.75" customHeight="1" x14ac:dyDescent="0.2"/>
    <row r="39" ht="15" customHeight="1" x14ac:dyDescent="0.2"/>
    <row r="40" ht="15" customHeight="1" x14ac:dyDescent="0.2"/>
  </sheetData>
  <mergeCells count="9">
    <mergeCell ref="B20:F20"/>
    <mergeCell ref="B21:F21"/>
    <mergeCell ref="B22:F22"/>
    <mergeCell ref="B23:F23"/>
    <mergeCell ref="A1:F1"/>
    <mergeCell ref="A3:F3"/>
    <mergeCell ref="A12:F12"/>
    <mergeCell ref="A18:F18"/>
    <mergeCell ref="B19:F1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UN Key Events</vt:lpstr>
      <vt:lpstr>Agriculture</vt:lpstr>
      <vt:lpstr>Water </vt:lpstr>
      <vt:lpstr>AI</vt:lpstr>
      <vt:lpstr>Energy Transition</vt:lpstr>
      <vt:lpstr>Mining </vt:lpstr>
      <vt:lpstr>Speciality Chemicals</vt:lpstr>
      <vt:lpstr>Healthcare</vt:lpstr>
      <vt:lpstr>African Diaspora</vt:lpstr>
      <vt:lpstr>CROSS-THEMATIC EVENTS</vt:lpstr>
      <vt:lpstr>Scoring Guide &amp; 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Marina PESNEAU</cp:lastModifiedBy>
  <cp:revision>0</cp:revision>
  <dcterms:created xsi:type="dcterms:W3CDTF">2026-06-02T18:58:16Z</dcterms:created>
  <dcterms:modified xsi:type="dcterms:W3CDTF">2026-07-24T20:50:54Z</dcterms:modified>
  <dc:language>en-US</dc:language>
</cp:coreProperties>
</file>